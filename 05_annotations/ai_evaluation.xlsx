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1e8b9355e84745" /></Relationships>
</file>

<file path=xl/workbook.xml><?xml version="1.0" encoding="utf-8"?>
<x:workbook xmlns:x="http://schemas.openxmlformats.org/spreadsheetml/2006/main">
  <x:sheets>
    <x:sheet xmlns:r="http://schemas.openxmlformats.org/officeDocument/2006/relationships" name="Summary" sheetId="1" r:id="R1181a80f9b234369"/>
    <x:sheet xmlns:r="http://schemas.openxmlformats.org/officeDocument/2006/relationships" name="Scores" sheetId="2" r:id="R3723b8e6362741e1"/>
    <x:sheet xmlns:r="http://schemas.openxmlformats.org/officeDocument/2006/relationships" name="Review text" sheetId="3" r:id="R80b4152a47b84223"/>
    <x:sheet xmlns:r="http://schemas.openxmlformats.org/officeDocument/2006/relationships" name="Candidates" sheetId="4" r:id="Rfc7f05c8b47142b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hh:mm:ss"/>
    <x:numFmt numFmtId="202" formatCode="0.00"/>
  </x:numFmts>
  <x:fonts count="5">
    <x:font>
      <x:sz val="11"/>
      <x:name val="Carlito"/>
    </x:font>
    <x:font>
      <x:sz val="11"/>
      <x:color rgb="FF18283A"/>
      <x:name val="Arial"/>
    </x:font>
    <x:font>
      <x:b/>
      <x:sz val="16"/>
      <x:color rgb="FF18283A"/>
      <x:name val="Arial"/>
    </x:font>
    <x:font>
      <x:b/>
      <x:sz val="11"/>
      <x:color rgb="FFFFFFFF"/>
      <x:name val="Arial"/>
    </x:font>
    <x:font>
      <x:b/>
      <x:sz val="13"/>
      <x:color rgb="FF18283A"/>
      <x:name val="Arial"/>
    </x:font>
  </x:fonts>
  <x:fills count="4">
    <x:fill>
      <x:patternFill patternType="none"/>
    </x:fill>
    <x:fill>
      <x:patternFill patternType="gray125"/>
    </x:fill>
    <x:fill>
      <x:patternFill patternType="solid">
        <x:fgColor rgb="FF253B53"/>
      </x:patternFill>
    </x:fill>
    <x:fill>
      <x:patternFill patternType="solid">
        <x:fgColor rgb="FFEFF3F7"/>
      </x:patternFill>
    </x:fill>
  </x:fills>
  <x:borders count="2">
    <x:border/>
    <x:border>
      <x:bottom style="thin">
        <x:color rgb="FFB9C6D3"/>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vertical="center" wrapText="1"/>
    </x:xf>
    <x:xf numFmtId="200" fontId="1" fillId="3" borderId="0" xfId="0" applyNumberFormat="1" applyFont="1" applyFill="1" applyBorder="1" applyAlignment="1">
      <x:alignment horizontal="right"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cellXfs>
  <x:cellStyles count="1">
    <x:cellStyle name="Normal" xfId="0"/>
  </x:cellStyles>
  <x:dxfs count="1">
    <x:dxf>
      <x:font>
        <x:b/>
        <x:color rgb="FF9B2418"/>
      </x:font>
      <x:fill>
        <x:patternFill patternType="solid">
          <x:bgColor rgb="FFFCE2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edfbfbf0234eac" /><Relationship Type="http://schemas.openxmlformats.org/officeDocument/2006/relationships/theme" Target="/xl/theme/theme1.xml" Id="R57e7fbac8169491c" /><Relationship Type="http://schemas.openxmlformats.org/officeDocument/2006/relationships/sharedStrings" Target="/xl/sharedStrings.xml" Id="Rbd47a308a1b44bf5" /><Relationship Type="http://schemas.openxmlformats.org/officeDocument/2006/relationships/worksheet" Target="/xl/worksheets/sheet1.xml" Id="R1181a80f9b234369" /><Relationship Type="http://schemas.openxmlformats.org/officeDocument/2006/relationships/worksheet" Target="/xl/worksheets/sheet2.xml" Id="R3723b8e6362741e1" /><Relationship Type="http://schemas.openxmlformats.org/officeDocument/2006/relationships/worksheet" Target="/xl/worksheets/sheet3.xml" Id="R80b4152a47b84223" /><Relationship Type="http://schemas.openxmlformats.org/officeDocument/2006/relationships/worksheet" Target="/xl/worksheets/sheet4.xml" Id="Rfc7f05c8b47142be" /></Relationships>
</file>

<file path=xl/tables/table1.xml><?xml version="1.0" encoding="utf-8"?>
<x:table xmlns:x="http://schemas.openxmlformats.org/spreadsheetml/2006/main" id="1" name="AI_scores" displayName="AI_scores" ref="A6:P86" headerRowCount="1" totalsRowCount="0" totalsRowShown="0">
  <x:autoFilter ref="A6:P86"/>
  <x:tableColumns count="16">
    <x:tableColumn id="1" name="Response ID"/>
    <x:tableColumn id="2" name="Task ID"/>
    <x:tableColumn id="3" name="Category"/>
    <x:tableColumn id="4" name="Accuracy"/>
    <x:tableColumn id="5" name="Instruction following"/>
    <x:tableColumn id="6" name="Relevance"/>
    <x:tableColumn id="7" name="Completeness"/>
    <x:tableColumn id="8" name="Clarity"/>
    <x:tableColumn id="9" name="Total / 10"/>
    <x:tableColumn id="10" name="Material error"/>
    <x:tableColumn id="11" name="Correction required"/>
    <x:tableColumn id="12" name="Review status"/>
    <x:tableColumn id="13" name="Reviewer"/>
    <x:tableColumn id="14" name="Reviewed at (UTC)"/>
    <x:tableColumn id="15" name="Round"/>
    <x:tableColumn id="16" name="Rubric version"/>
  </x:tableColumns>
  <x:tableStyleInfo name="TableStyleMedium2" showFirstColumn="0" showLastColumn="0" showRowStripes="1" showColumnStripes="0"/>
</x:table>
</file>

<file path=xl/tables/table2.xml><?xml version="1.0" encoding="utf-8"?>
<x:table xmlns:x="http://schemas.openxmlformats.org/spreadsheetml/2006/main" id="2" name="AI_review_text" displayName="AI_review_text" ref="A6:J86" headerRowCount="1" totalsRowCount="0" totalsRowShown="0">
  <x:autoFilter ref="A6:J86"/>
  <x:tableColumns count="10">
    <x:tableColumn id="1" name="Response ID"/>
    <x:tableColumn id="2" name="Task ID"/>
    <x:tableColumn id="3" name="Rationale"/>
    <x:tableColumn id="4" name="Corrected answer"/>
    <x:tableColumn id="5" name="Primary error"/>
    <x:tableColumn id="6" name="Secondary errors"/>
    <x:tableColumn id="7" name="Uncertainty"/>
    <x:tableColumn id="8" name="Uncertainty note"/>
    <x:tableColumn id="9" name="Reviewer"/>
    <x:tableColumn id="10" name="Original review timestamp"/>
  </x:tableColumns>
  <x:tableStyleInfo name="TableStyleMedium2" showFirstColumn="0" showLastColumn="0" showRowStripes="1" showColumnStripes="0"/>
</x:table>
</file>

<file path=xl/tables/table3.xml><?xml version="1.0" encoding="utf-8"?>
<x:table xmlns:x="http://schemas.openxmlformats.org/spreadsheetml/2006/main" id="3" name="AI_candidates" displayName="AI_candidates" ref="A6:H86" headerRowCount="1" totalsRowCount="0" totalsRowShown="0">
  <x:autoFilter ref="A6:H86"/>
  <x:tableColumns count="8">
    <x:tableColumn id="1" name="Response ID"/>
    <x:tableColumn id="2" name="Task ID"/>
    <x:tableColumn id="3" name="Task prompt"/>
    <x:tableColumn id="4" name="Candidate text"/>
    <x:tableColumn id="5" name="AI-checked reference"/>
    <x:tableColumn id="6" name="Raw reply URL"/>
    <x:tableColumn id="7" name="Recorded model"/>
    <x:tableColumn id="8" name="Reply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3c802836ff4b1e" /></Relationships>
</file>

<file path=xl/worksheets/_rels/sheet3.xml.rels>&#65279;<?xml version="1.0" encoding="utf-8"?><Relationships xmlns="http://schemas.openxmlformats.org/package/2006/relationships"><Relationship Type="http://schemas.openxmlformats.org/officeDocument/2006/relationships/table" Target="/xl/tables/table2.xml" Id="Rb4a9898be616419d" /></Relationships>
</file>

<file path=xl/worksheets/_rels/sheet4.xml.rels>&#65279;<?xml version="1.0" encoding="utf-8"?><Relationships xmlns="http://schemas.openxmlformats.org/package/2006/relationships"><Relationship Type="http://schemas.openxmlformats.org/officeDocument/2006/relationships/table" Target="/xl/tables/table3.xml" Id="R913da0b8ba114a71" /></Relationships>
</file>

<file path=xl/worksheets/sheet1.xml><?xml version="1.0" encoding="utf-8"?>
<x:worksheet xmlns:x="http://schemas.openxmlformats.org/spreadsheetml/2006/main">
  <x:sheetPr>
    <x:tabColor rgb="FF253B53"/>
  </x:sheetPr>
  <x:sheetViews>
    <x:sheetView showGridLines="0" workbookViewId="0"/>
  </x:sheetViews>
  <x:sheetFormatPr defaultRowHeight="15"/>
  <x:cols>
    <x:col min="1" max="1" width="31" hidden="0" customWidth="1"/>
    <x:col min="2" max="2" width="18" hidden="0" customWidth="1"/>
    <x:col min="3" max="3" width="17" hidden="0" customWidth="1"/>
    <x:col min="4" max="4" width="27" hidden="0" customWidth="1"/>
    <x:col min="5" max="5" width="20" hidden="0" customWidth="1"/>
    <x:col min="6" max="6" width="19" hidden="0" customWidth="1"/>
  </x:cols>
  <x:sheetData>
    <x:row r="1" ht="25" customHeight="1">
      <x:c r="A1" s="2"/>
      <x:c r="B1" s="2"/>
      <x:c r="C1" s="2"/>
      <x:c r="D1" s="2"/>
      <x:c r="E1" s="2"/>
      <x:c r="F1" s="2"/>
    </x:row>
    <x:row r="2" ht="25" customHeight="1">
      <x:c r="A2" s="3" t="str">
        <x:v>AI Answer Quality Audit</x:v>
      </x:c>
      <x:c r="B2" s="2"/>
      <x:c r="C2" s="2"/>
      <x:c r="D2" s="2"/>
      <x:c r="E2" s="2"/>
      <x:c r="F2" s="2"/>
    </x:row>
    <x:row r="3" ht="25" customHeight="1">
      <x:c r="A3" s="4"/>
      <x:c r="B3" s="4"/>
      <x:c r="C3" s="4"/>
      <x:c r="D3" s="4"/>
      <x:c r="E3" s="4"/>
      <x:c r="F3" s="4"/>
    </x:row>
    <x:row r="4" ht="25" customHeight="1">
      <x:c r="A4" s="2" t="str">
        <x:v>Completed AI evaluation. Owner review pending. Human recheck not performed.</x:v>
      </x:c>
      <x:c r="B4" s="2"/>
      <x:c r="C4" s="2"/>
      <x:c r="D4" s="2"/>
      <x:c r="E4" s="2"/>
      <x:c r="F4" s="2"/>
    </x:row>
    <x:row r="5" ht="25" customHeight="1">
      <x:c r="A5" s="2"/>
      <x:c r="B5" s="2"/>
      <x:c r="C5" s="2"/>
      <x:c r="D5" s="2"/>
      <x:c r="E5" s="2"/>
      <x:c r="F5" s="2"/>
    </x:row>
    <x:row r="6" ht="34" customHeight="1">
      <x:c r="A6" s="8" t="str">
        <x:v>Coverage and decisions</x:v>
      </x:c>
      <x:c r="B6" s="8" t="str">
        <x:v>Count</x:v>
      </x:c>
      <x:c r="C6" s="2"/>
      <x:c r="D6" s="8" t="str">
        <x:v>Score dimension</x:v>
      </x:c>
      <x:c r="E6" s="8" t="str">
        <x:v>Mean / 2</x:v>
      </x:c>
      <x:c r="F6" s="8" t="str">
        <x:v>Scored rows</x:v>
      </x:c>
    </x:row>
    <x:row r="7" ht="25" customHeight="1">
      <x:c r="A7" s="2" t="str">
        <x:v>Prepared tasks</x:v>
      </x:c>
      <x:c r="B7" s="18" t="n">
        <x:v>40</x:v>
      </x:c>
      <x:c r="C7" s="2"/>
      <x:c r="D7" s="9" t="str">
        <x:v>Accuracy</x:v>
      </x:c>
      <x:c r="E7" s="17" t="n">
        <x:f>IF(F7=0,"n.a.",AVERAGEIFS('Scores'!$D$7:$D$86,'Scores'!$L$7:$L$86,"complete",'Scores'!$D$7:$D$86,"&gt;=0",'Scores'!$D$7:$D$86,"&lt;=2"))</x:f>
        <x:v>2</x:v>
      </x:c>
      <x:c r="F7" s="16" t="n">
        <x:f>COUNTIFS('Scores'!$D$7:$D$86,"&gt;=0",'Scores'!$D$7:$D$86,"&lt;=2",'Scores'!$D$7:$D$86,"&lt;&gt;",'Scores'!$L$7:$L$86,"complete")</x:f>
        <x:v>80</x:v>
      </x:c>
    </x:row>
    <x:row r="8" ht="25" customHeight="1">
      <x:c r="A8" s="2" t="str">
        <x:v>Reviewed responses</x:v>
      </x:c>
      <x:c r="B8" s="18" t="n">
        <x:f>COUNTIFS('Scores'!$L$7:$L$86,"complete")</x:f>
        <x:v>80</x:v>
      </x:c>
      <x:c r="C8" s="2"/>
      <x:c r="D8" s="9" t="str">
        <x:v>Instruction following</x:v>
      </x:c>
      <x:c r="E8" s="17" t="n">
        <x:f>IF(F8=0,"n.a.",AVERAGEIFS('Scores'!$E$7:$E$86,'Scores'!$L$7:$L$86,"complete",'Scores'!$E$7:$E$86,"&gt;=0",'Scores'!$E$7:$E$86,"&lt;=2"))</x:f>
        <x:v>2</x:v>
      </x:c>
      <x:c r="F8" s="16" t="n">
        <x:f>COUNTIFS('Scores'!$E$7:$E$86,"&gt;=0",'Scores'!$E$7:$E$86,"&lt;=2",'Scores'!$E$7:$E$86,"&lt;&gt;",'Scores'!$L$7:$L$86,"complete")</x:f>
        <x:v>80</x:v>
      </x:c>
    </x:row>
    <x:row r="9" ht="25" customHeight="1">
      <x:c r="A9" s="2" t="str">
        <x:v>Material errors</x:v>
      </x:c>
      <x:c r="B9" s="18" t="n">
        <x:f>COUNTIFS('Scores'!$J$7:$J$86,"yes",'Scores'!$L$7:$L$86,"complete")</x:f>
        <x:v>0</x:v>
      </x:c>
      <x:c r="C9" s="2"/>
      <x:c r="D9" s="9" t="str">
        <x:v>Relevance</x:v>
      </x:c>
      <x:c r="E9" s="17" t="n">
        <x:f>IF(F9=0,"n.a.",AVERAGEIFS('Scores'!$F$7:$F$86,'Scores'!$L$7:$L$86,"complete",'Scores'!$F$7:$F$86,"&gt;=0",'Scores'!$F$7:$F$86,"&lt;=2"))</x:f>
        <x:v>2</x:v>
      </x:c>
      <x:c r="F9" s="16" t="n">
        <x:f>COUNTIFS('Scores'!$F$7:$F$86,"&gt;=0",'Scores'!$F$7:$F$86,"&lt;=2",'Scores'!$F$7:$F$86,"&lt;&gt;",'Scores'!$L$7:$L$86,"complete")</x:f>
        <x:v>80</x:v>
      </x:c>
    </x:row>
    <x:row r="10" ht="25" customHeight="1">
      <x:c r="A10" s="2" t="str">
        <x:v>Corrections required</x:v>
      </x:c>
      <x:c r="B10" s="18" t="n">
        <x:f>COUNTIFS('Scores'!$K$7:$K$86,"yes",'Scores'!$L$7:$L$86,"complete")</x:f>
        <x:v>0</x:v>
      </x:c>
      <x:c r="C10" s="2"/>
      <x:c r="D10" s="9" t="str">
        <x:v>Completeness</x:v>
      </x:c>
      <x:c r="E10" s="17" t="n">
        <x:f>IF(F10=0,"n.a.",AVERAGEIFS('Scores'!$G$7:$G$86,'Scores'!$L$7:$L$86,"complete",'Scores'!$G$7:$G$86,"&gt;=0",'Scores'!$G$7:$G$86,"&lt;=2"))</x:f>
        <x:v>2</x:v>
      </x:c>
      <x:c r="F10" s="16" t="n">
        <x:f>COUNTIFS('Scores'!$G$7:$G$86,"&gt;=0",'Scores'!$G$7:$G$86,"&lt;=2",'Scores'!$G$7:$G$86,"&lt;&gt;",'Scores'!$L$7:$L$86,"complete")</x:f>
        <x:v>80</x:v>
      </x:c>
    </x:row>
    <x:row r="11" ht="25" customHeight="1">
      <x:c r="A11" s="2" t="str">
        <x:v>AI-authored reviews</x:v>
      </x:c>
      <x:c r="B11" s="18" t="n">
        <x:f>COUNTIFS('Scores'!$M$7:$M$86,"Codex (AI)",'Scores'!$L$7:$L$86,"complete")</x:f>
        <x:v>80</x:v>
      </x:c>
      <x:c r="C11" s="2"/>
      <x:c r="D11" s="9" t="str">
        <x:v>Clarity</x:v>
      </x:c>
      <x:c r="E11" s="17" t="n">
        <x:f>IF(F11=0,"n.a.",AVERAGEIFS('Scores'!$H$7:$H$86,'Scores'!$L$7:$L$86,"complete",'Scores'!$H$7:$H$86,"&gt;=0",'Scores'!$H$7:$H$86,"&lt;=2"))</x:f>
        <x:v>2</x:v>
      </x:c>
      <x:c r="F11" s="16" t="n">
        <x:f>COUNTIFS('Scores'!$H$7:$H$86,"&gt;=0",'Scores'!$H$7:$H$86,"&lt;=2",'Scores'!$H$7:$H$86,"&lt;&gt;",'Scores'!$L$7:$L$86,"complete")</x:f>
        <x:v>80</x:v>
      </x:c>
    </x:row>
    <x:row r="12" ht="25" customHeight="1">
      <x:c r="A12" s="2" t="str">
        <x:v>Human-authored reviews</x:v>
      </x:c>
      <x:c r="B12" s="18" t="n">
        <x:f>B8-B11</x:f>
        <x:v>0</x:v>
      </x:c>
      <x:c r="C12" s="2"/>
      <x:c r="D12" s="2"/>
      <x:c r="E12" s="17"/>
      <x:c r="F12" s="2"/>
    </x:row>
    <x:row r="13" ht="25" customHeight="1">
      <x:c r="A13" s="2" t="str">
        <x:v>Human rechecks</x:v>
      </x:c>
      <x:c r="B13" s="18" t="n">
        <x:f>0</x:f>
        <x:v>0</x:v>
      </x:c>
      <x:c r="C13" s="2"/>
      <x:c r="D13" s="2" t="str">
        <x:v>Mean total / 10</x:v>
      </x:c>
      <x:c r="E13" s="17" t="n">
        <x:f>IF($B$8=0,"n.a.",AVERAGEIFS('Scores'!$I$7:$I$86,'Scores'!$L$7:$L$86,"complete"))</x:f>
        <x:v>10</x:v>
      </x:c>
      <x:c r="F13" s="2"/>
    </x:row>
    <x:row r="14" ht="25" customHeight="1">
      <x:c r="A14" s="2"/>
      <x:c r="B14" s="2"/>
      <x:c r="C14" s="2"/>
      <x:c r="D14" s="2"/>
      <x:c r="E14" s="2"/>
      <x:c r="F14" s="2"/>
    </x:row>
    <x:row r="15" ht="25" customHeight="1">
      <x:c r="A15" s="15" t="str">
        <x:v>Category results</x:v>
      </x:c>
      <x:c r="B15" s="2"/>
      <x:c r="C15" s="2"/>
      <x:c r="D15" s="2"/>
      <x:c r="E15" s="2"/>
      <x:c r="F15" s="2"/>
    </x:row>
    <x:row r="16" ht="25" customHeight="1">
      <x:c r="A16" s="2"/>
      <x:c r="B16" s="2"/>
      <x:c r="C16" s="2"/>
      <x:c r="D16" s="2"/>
      <x:c r="E16" s="2"/>
      <x:c r="F16" s="2"/>
    </x:row>
    <x:row r="17" ht="34" customHeight="1">
      <x:c r="A17" s="8" t="str">
        <x:v>Category</x:v>
      </x:c>
      <x:c r="B17" s="8" t="str">
        <x:v>Responses</x:v>
      </x:c>
      <x:c r="C17" s="8" t="str">
        <x:v>Mean total / 10</x:v>
      </x:c>
      <x:c r="D17" s="8" t="str">
        <x:v>Accuracy / 2</x:v>
      </x:c>
      <x:c r="E17" s="8" t="str">
        <x:v>Material errors</x:v>
      </x:c>
      <x:c r="F17" s="8" t="str">
        <x:v>Corrections</x:v>
      </x:c>
    </x:row>
    <x:row r="18" ht="32" customHeight="1">
      <x:c r="A18" s="9" t="str">
        <x:v>Mathematics and physics</x:v>
      </x:c>
      <x:c r="B18" s="18" t="n">
        <x:f>COUNTIFS('Scores'!$C$7:$C$86,$A18,'Scores'!$L$7:$L$86,"complete")</x:f>
        <x:v>20</x:v>
      </x:c>
      <x:c r="C18" s="19" t="n">
        <x:f>IF(B18=0,"n.a.",AVERAGEIFS('Scores'!$I$7:$I$86,'Scores'!$C$7:$C$86,$A18,'Scores'!$L$7:$L$86,"complete"))</x:f>
        <x:v>10</x:v>
      </x:c>
      <x:c r="D18" s="19" t="n">
        <x:f>IF(B18=0,"n.a.",AVERAGEIFS('Scores'!$D$7:$D$86,'Scores'!$C$7:$C$86,$A18,'Scores'!$L$7:$L$86,"complete"))</x:f>
        <x:v>2</x:v>
      </x:c>
      <x:c r="E18" s="18" t="n">
        <x:f>COUNTIFS('Scores'!$C$7:$C$86,$A18,'Scores'!$J$7:$J$86,"yes",'Scores'!$L$7:$L$86,"complete")</x:f>
        <x:v>0</x:v>
      </x:c>
      <x:c r="F18" s="18" t="n">
        <x:f>COUNTIFS('Scores'!$C$7:$C$86,$A18,'Scores'!$K$7:$K$86,"yes",'Scores'!$L$7:$L$86,"complete")</x:f>
        <x:v>0</x:v>
      </x:c>
    </x:row>
    <x:row r="19" ht="32" customHeight="1">
      <x:c r="A19" s="9" t="str">
        <x:v>Customer support</x:v>
      </x:c>
      <x:c r="B19" s="18" t="n">
        <x:f>COUNTIFS('Scores'!$C$7:$C$86,$A19,'Scores'!$L$7:$L$86,"complete")</x:f>
        <x:v>20</x:v>
      </x:c>
      <x:c r="C19" s="19" t="n">
        <x:f>IF(B19=0,"n.a.",AVERAGEIFS('Scores'!$I$7:$I$86,'Scores'!$C$7:$C$86,$A19,'Scores'!$L$7:$L$86,"complete"))</x:f>
        <x:v>10</x:v>
      </x:c>
      <x:c r="D19" s="19" t="n">
        <x:f>IF(B19=0,"n.a.",AVERAGEIFS('Scores'!$D$7:$D$86,'Scores'!$C$7:$C$86,$A19,'Scores'!$L$7:$L$86,"complete"))</x:f>
        <x:v>2</x:v>
      </x:c>
      <x:c r="E19" s="18" t="n">
        <x:f>COUNTIFS('Scores'!$C$7:$C$86,$A19,'Scores'!$J$7:$J$86,"yes",'Scores'!$L$7:$L$86,"complete")</x:f>
        <x:v>0</x:v>
      </x:c>
      <x:c r="F19" s="18" t="n">
        <x:f>COUNTIFS('Scores'!$C$7:$C$86,$A19,'Scores'!$K$7:$K$86,"yes",'Scores'!$L$7:$L$86,"complete")</x:f>
        <x:v>0</x:v>
      </x:c>
    </x:row>
    <x:row r="20" ht="32" customHeight="1">
      <x:c r="A20" s="9" t="str">
        <x:v>Reading comprehension</x:v>
      </x:c>
      <x:c r="B20" s="18" t="n">
        <x:f>COUNTIFS('Scores'!$C$7:$C$86,$A20,'Scores'!$L$7:$L$86,"complete")</x:f>
        <x:v>20</x:v>
      </x:c>
      <x:c r="C20" s="19" t="n">
        <x:f>IF(B20=0,"n.a.",AVERAGEIFS('Scores'!$I$7:$I$86,'Scores'!$C$7:$C$86,$A20,'Scores'!$L$7:$L$86,"complete"))</x:f>
        <x:v>10</x:v>
      </x:c>
      <x:c r="D20" s="19" t="n">
        <x:f>IF(B20=0,"n.a.",AVERAGEIFS('Scores'!$D$7:$D$86,'Scores'!$C$7:$C$86,$A20,'Scores'!$L$7:$L$86,"complete"))</x:f>
        <x:v>2</x:v>
      </x:c>
      <x:c r="E20" s="18" t="n">
        <x:f>COUNTIFS('Scores'!$C$7:$C$86,$A20,'Scores'!$J$7:$J$86,"yes",'Scores'!$L$7:$L$86,"complete")</x:f>
        <x:v>0</x:v>
      </x:c>
      <x:c r="F20" s="18" t="n">
        <x:f>COUNTIFS('Scores'!$C$7:$C$86,$A20,'Scores'!$K$7:$K$86,"yes",'Scores'!$L$7:$L$86,"complete")</x:f>
        <x:v>0</x:v>
      </x:c>
    </x:row>
    <x:row r="21" ht="32" customHeight="1">
      <x:c r="A21" s="9" t="str">
        <x:v>Practical reasoning</x:v>
      </x:c>
      <x:c r="B21" s="18" t="n">
        <x:f>COUNTIFS('Scores'!$C$7:$C$86,$A21,'Scores'!$L$7:$L$86,"complete")</x:f>
        <x:v>20</x:v>
      </x:c>
      <x:c r="C21" s="19" t="n">
        <x:f>IF(B21=0,"n.a.",AVERAGEIFS('Scores'!$I$7:$I$86,'Scores'!$C$7:$C$86,$A21,'Scores'!$L$7:$L$86,"complete"))</x:f>
        <x:v>10</x:v>
      </x:c>
      <x:c r="D21" s="19" t="n">
        <x:f>IF(B21=0,"n.a.",AVERAGEIFS('Scores'!$D$7:$D$86,'Scores'!$C$7:$C$86,$A21,'Scores'!$L$7:$L$86,"complete"))</x:f>
        <x:v>2</x:v>
      </x:c>
      <x:c r="E21" s="18" t="n">
        <x:f>COUNTIFS('Scores'!$C$7:$C$86,$A21,'Scores'!$J$7:$J$86,"yes",'Scores'!$L$7:$L$86,"complete")</x:f>
        <x:v>0</x:v>
      </x:c>
      <x:c r="F21" s="18" t="n">
        <x:f>COUNTIFS('Scores'!$C$7:$C$86,$A21,'Scores'!$K$7:$K$86,"yes",'Scores'!$L$7:$L$86,"complete")</x:f>
        <x:v>0</x:v>
      </x:c>
    </x:row>
    <x:row r="22" ht="25" customHeight="1">
      <x:c r="A22" s="2"/>
      <x:c r="B22" s="2"/>
      <x:c r="C22" s="2"/>
      <x:c r="D22" s="2"/>
      <x:c r="E22" s="2"/>
      <x:c r="F22" s="2"/>
    </x:row>
    <x:row r="23" ht="25" customHeight="1">
      <x:c r="A23" s="2"/>
      <x:c r="B23" s="2"/>
      <x:c r="C23" s="2"/>
      <x:c r="D23" s="2"/>
      <x:c r="E23" s="2"/>
      <x:c r="F23" s="2"/>
    </x:row>
    <x:row r="24" ht="25" customHeight="1">
      <x:c r="A24" s="2" t="str">
        <x:v>Self-consistency: n.a. No delayed human recheck has been performed.</x:v>
      </x:c>
      <x:c r="B24" s="2"/>
      <x:c r="C24" s="2"/>
      <x:c r="D24" s="2"/>
      <x:c r="E24" s="2"/>
      <x:c r="F24" s="2"/>
    </x:row>
    <x:row r="25" ht="25" customHeight="1">
      <x:c r="A25" s="2" t="str">
        <x:v>Five dimensions scored 0-2. A material error always requires correction, regardless of total.</x:v>
      </x:c>
      <x:c r="B25" s="2"/>
      <x:c r="C25" s="2"/>
      <x:c r="D25" s="2"/>
      <x:c r="E25" s="2"/>
      <x:c r="F25" s="2"/>
    </x:row>
    <x:row r="26" ht="25" customHeight="1">
      <x:c r="A26" s="2" t="str">
        <x:v>These AI judgments describe this small task set; they do not measure Dominic’s independent performance.</x:v>
      </x:c>
      <x:c r="B26" s="2"/>
      <x:c r="C26" s="2"/>
      <x:c r="D26" s="2"/>
      <x:c r="E26" s="2"/>
      <x:c r="F26" s="2"/>
    </x:row>
    <x:row r="27" ht="25" customHeight="1">
      <x:c r="A27" s="2" t="str">
        <x:v>Rubric: 1.0. Generated from 80 recorded AI reviews on 2026-09-10.</x:v>
      </x:c>
      <x:c r="B27" s="2"/>
      <x:c r="C27" s="2"/>
      <x:c r="D27" s="2"/>
      <x:c r="E27" s="2"/>
      <x:c r="F27" s="2"/>
    </x:row>
    <x:row r="28" ht="25" customHeight="1">
      <x:c r="A28" s="2" t="str">
        <x:v>Editing this workbook does not update the preserved CSV, GitHub records or published report.</x:v>
      </x:c>
      <x:c r="B28" s="2"/>
      <x:c r="C28" s="2"/>
      <x:c r="D28" s="2"/>
      <x:c r="E28" s="2"/>
      <x:c r="F28" s="2"/>
    </x:row>
    <x:row r="29" ht="25" customHeight="1">
      <x:c r="A29" s="2" t="str">
        <x:v>All scores reached 10/10. This sample provides no examples of correction practice or lower score boundaries.</x:v>
      </x:c>
      <x:c r="B29" s="2"/>
      <x:c r="C29" s="2"/>
      <x:c r="D29" s="2"/>
      <x:c r="E29" s="2"/>
      <x:c r="F29" s="2"/>
    </x:row>
    <x:row r="30" ht="25"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12" hidden="0" customWidth="1"/>
    <x:col min="3" max="3" width="29" hidden="0" customWidth="1"/>
    <x:col min="4" max="4" width="14" hidden="0" customWidth="1"/>
    <x:col min="5" max="5" width="19" hidden="0" customWidth="1"/>
    <x:col min="6" max="6" width="14" hidden="0" customWidth="1"/>
    <x:col min="7" max="7" width="17" hidden="0" customWidth="1"/>
    <x:col min="8" max="8" width="14" hidden="0" customWidth="1"/>
    <x:col min="9" max="9" width="13" hidden="0" customWidth="1"/>
    <x:col min="10" max="10" width="18" hidden="0" customWidth="1"/>
    <x:col min="11" max="11" width="20" hidden="0" customWidth="1"/>
    <x:col min="12" max="12" width="20" hidden="0" customWidth="1"/>
    <x:col min="13" max="13" width="25" hidden="0" customWidth="1"/>
    <x:col min="14" max="14" width="24" hidden="0" customWidth="1"/>
    <x:col min="15" max="15" width="22" hidden="0" customWidth="1"/>
    <x:col min="16" max="16" width="16" hidden="0" customWidth="1"/>
  </x:cols>
  <x:sheetData>
    <x:row r="1">
      <x:c r="A1" s="2"/>
      <x:c r="B1" s="2"/>
      <x:c r="C1" s="2"/>
      <x:c r="D1" s="2"/>
      <x:c r="E1" s="2"/>
      <x:c r="F1" s="2"/>
      <x:c r="G1" s="2"/>
      <x:c r="H1" s="2"/>
      <x:c r="I1" s="2"/>
      <x:c r="J1" s="2"/>
      <x:c r="K1" s="2"/>
      <x:c r="L1" s="2"/>
      <x:c r="M1" s="2"/>
      <x:c r="N1" s="2"/>
      <x:c r="O1" s="2"/>
      <x:c r="P1" s="2"/>
    </x:row>
    <x:row r="2" ht="28" customHeight="1">
      <x:c r="A2" s="3" t="str">
        <x:v>AI answer quality scores</x:v>
      </x:c>
      <x:c r="B2" s="2"/>
      <x:c r="C2" s="2"/>
      <x:c r="D2" s="2"/>
      <x:c r="E2" s="2"/>
      <x:c r="F2" s="2"/>
      <x:c r="G2" s="2"/>
      <x:c r="H2" s="2"/>
      <x:c r="I2" s="2"/>
      <x:c r="J2" s="2"/>
      <x:c r="K2" s="2"/>
      <x:c r="L2" s="2"/>
      <x:c r="M2" s="2"/>
      <x:c r="N2" s="2"/>
      <x:c r="O2" s="2"/>
      <x:c r="P2" s="2"/>
    </x:row>
    <x:row r="3">
      <x:c r="A3" s="4"/>
      <x:c r="B3" s="4"/>
      <x:c r="C3" s="4"/>
      <x:c r="D3" s="4"/>
      <x:c r="E3" s="4"/>
      <x:c r="F3" s="4"/>
      <x:c r="G3" s="4"/>
      <x:c r="H3" s="4"/>
      <x:c r="I3" s="4"/>
      <x:c r="J3" s="4"/>
      <x:c r="K3" s="4"/>
      <x:c r="L3" s="4"/>
      <x:c r="M3" s="4"/>
      <x:c r="N3" s="4"/>
      <x:c r="O3" s="4"/>
      <x:c r="P3" s="4"/>
    </x:row>
    <x:row r="4" ht="25" customHeight="1">
      <x:c r="A4" s="2" t="str">
        <x:v>AI-authored evaluation. Owner review pending. Preserve the source CSV before making any edits.</x:v>
      </x:c>
      <x:c r="B4" s="2"/>
      <x:c r="C4" s="2"/>
      <x:c r="D4" s="2"/>
      <x:c r="E4" s="2"/>
      <x:c r="F4" s="2"/>
      <x:c r="G4" s="2"/>
      <x:c r="H4" s="2"/>
      <x:c r="I4" s="2"/>
      <x:c r="J4" s="2"/>
      <x:c r="K4" s="2"/>
      <x:c r="L4" s="2"/>
      <x:c r="M4" s="2"/>
      <x:c r="N4" s="2"/>
      <x:c r="O4" s="2"/>
      <x:c r="P4" s="2"/>
    </x:row>
    <x:row r="5">
      <x:c r="A5" s="2"/>
      <x:c r="B5" s="2"/>
      <x:c r="C5" s="2"/>
      <x:c r="D5" s="2"/>
      <x:c r="E5" s="2"/>
      <x:c r="F5" s="2"/>
      <x:c r="G5" s="2"/>
      <x:c r="H5" s="2"/>
      <x:c r="I5" s="2"/>
      <x:c r="J5" s="2"/>
      <x:c r="K5" s="2"/>
      <x:c r="L5" s="2"/>
      <x:c r="M5" s="2"/>
      <x:c r="N5" s="2"/>
      <x:c r="O5" s="2"/>
      <x:c r="P5" s="2"/>
    </x:row>
    <x:row r="6" ht="42" customHeight="1">
      <x:c r="A6" s="8" t="str">
        <x:v>Response ID</x:v>
      </x:c>
      <x:c r="B6" s="8" t="str">
        <x:v>Task ID</x:v>
      </x:c>
      <x:c r="C6" s="8" t="str">
        <x:v>Category</x:v>
      </x:c>
      <x:c r="D6" s="8" t="str">
        <x:v>Accuracy</x:v>
      </x:c>
      <x:c r="E6" s="8" t="str">
        <x:v>Instruction following</x:v>
      </x:c>
      <x:c r="F6" s="8" t="str">
        <x:v>Relevance</x:v>
      </x:c>
      <x:c r="G6" s="8" t="str">
        <x:v>Completeness</x:v>
      </x:c>
      <x:c r="H6" s="8" t="str">
        <x:v>Clarity</x:v>
      </x:c>
      <x:c r="I6" s="8" t="str">
        <x:v>Total / 10</x:v>
      </x:c>
      <x:c r="J6" s="8" t="str">
        <x:v>Material error</x:v>
      </x:c>
      <x:c r="K6" s="8" t="str">
        <x:v>Correction required</x:v>
      </x:c>
      <x:c r="L6" s="8" t="str">
        <x:v>Review status</x:v>
      </x:c>
      <x:c r="M6" s="8" t="str">
        <x:v>Reviewer</x:v>
      </x:c>
      <x:c r="N6" s="8" t="str">
        <x:v>Reviewed at (UTC)</x:v>
      </x:c>
      <x:c r="O6" s="8" t="str">
        <x:v>Round</x:v>
      </x:c>
      <x:c r="P6" s="8" t="str">
        <x:v>Rubric version</x:v>
      </x:c>
    </x:row>
    <x:row r="7" ht="31" customHeight="1">
      <x:c r="A7" s="9" t="str">
        <x:v>MP01-A</x:v>
      </x:c>
      <x:c r="B7" s="9" t="str">
        <x:v>MP01</x:v>
      </x:c>
      <x:c r="C7" s="9" t="str">
        <x:v>Mathematics and physics</x:v>
      </x:c>
      <x:c r="D7" s="11" t="n">
        <x:v>2</x:v>
      </x:c>
      <x:c r="E7" s="11" t="n">
        <x:v>2</x:v>
      </x:c>
      <x:c r="F7" s="11" t="n">
        <x:v>2</x:v>
      </x:c>
      <x:c r="G7" s="11" t="n">
        <x:v>2</x:v>
      </x:c>
      <x:c r="H7" s="11" t="n">
        <x:v>2</x:v>
      </x:c>
      <x:c r="I7" s="13" t="n">
        <x:f>IF(COUNT(D7:H7)=5,SUM(D7:H7),"")</x:f>
        <x:v>10</x:v>
      </x:c>
      <x:c r="J7" s="9" t="str">
        <x:v>no</x:v>
      </x:c>
      <x:c r="K7" s="9" t="str">
        <x:v>no</x:v>
      </x:c>
      <x:c r="L7" s="9" t="str">
        <x:v>complete</x:v>
      </x:c>
      <x:c r="M7" s="9" t="str">
        <x:v>Codex (AI)</x:v>
      </x:c>
      <x:c r="N7" s="12" t="n">
        <x:v>46275.66396990741</x:v>
      </x:c>
      <x:c r="O7" s="9" t="str">
        <x:v>final_baseline</x:v>
      </x:c>
      <x:c r="P7" s="9" t="str">
        <x:v>v1.0</x:v>
      </x:c>
    </x:row>
    <x:row r="8" ht="31" customHeight="1">
      <x:c r="A8" s="9" t="str">
        <x:v>MP01-B</x:v>
      </x:c>
      <x:c r="B8" s="9" t="str">
        <x:v>MP01</x:v>
      </x:c>
      <x:c r="C8" s="9" t="str">
        <x:v>Mathematics and physics</x:v>
      </x:c>
      <x:c r="D8" s="11" t="n">
        <x:v>2</x:v>
      </x:c>
      <x:c r="E8" s="11" t="n">
        <x:v>2</x:v>
      </x:c>
      <x:c r="F8" s="11" t="n">
        <x:v>2</x:v>
      </x:c>
      <x:c r="G8" s="11" t="n">
        <x:v>2</x:v>
      </x:c>
      <x:c r="H8" s="11" t="n">
        <x:v>2</x:v>
      </x:c>
      <x:c r="I8" s="13" t="n">
        <x:f>IF(COUNT(D8:H8)=5,SUM(D8:H8),"")</x:f>
        <x:v>10</x:v>
      </x:c>
      <x:c r="J8" s="9" t="str">
        <x:v>no</x:v>
      </x:c>
      <x:c r="K8" s="9" t="str">
        <x:v>no</x:v>
      </x:c>
      <x:c r="L8" s="9" t="str">
        <x:v>complete</x:v>
      </x:c>
      <x:c r="M8" s="9" t="str">
        <x:v>Codex (AI)</x:v>
      </x:c>
      <x:c r="N8" s="12" t="n">
        <x:v>46275.66396990741</x:v>
      </x:c>
      <x:c r="O8" s="9" t="str">
        <x:v>final_baseline</x:v>
      </x:c>
      <x:c r="P8" s="9" t="str">
        <x:v>v1.0</x:v>
      </x:c>
    </x:row>
    <x:row r="9" ht="31" customHeight="1">
      <x:c r="A9" s="9" t="str">
        <x:v>MP02-A</x:v>
      </x:c>
      <x:c r="B9" s="9" t="str">
        <x:v>MP02</x:v>
      </x:c>
      <x:c r="C9" s="9" t="str">
        <x:v>Mathematics and physics</x:v>
      </x:c>
      <x:c r="D9" s="11" t="n">
        <x:v>2</x:v>
      </x:c>
      <x:c r="E9" s="11" t="n">
        <x:v>2</x:v>
      </x:c>
      <x:c r="F9" s="11" t="n">
        <x:v>2</x:v>
      </x:c>
      <x:c r="G9" s="11" t="n">
        <x:v>2</x:v>
      </x:c>
      <x:c r="H9" s="11" t="n">
        <x:v>2</x:v>
      </x:c>
      <x:c r="I9" s="13" t="n">
        <x:f>IF(COUNT(D9:H9)=5,SUM(D9:H9),"")</x:f>
        <x:v>10</x:v>
      </x:c>
      <x:c r="J9" s="9" t="str">
        <x:v>no</x:v>
      </x:c>
      <x:c r="K9" s="9" t="str">
        <x:v>no</x:v>
      </x:c>
      <x:c r="L9" s="9" t="str">
        <x:v>complete</x:v>
      </x:c>
      <x:c r="M9" s="9" t="str">
        <x:v>Codex (AI)</x:v>
      </x:c>
      <x:c r="N9" s="12" t="n">
        <x:v>46275.66396990741</x:v>
      </x:c>
      <x:c r="O9" s="9" t="str">
        <x:v>final_baseline</x:v>
      </x:c>
      <x:c r="P9" s="9" t="str">
        <x:v>v1.0</x:v>
      </x:c>
    </x:row>
    <x:row r="10" ht="31" customHeight="1">
      <x:c r="A10" s="9" t="str">
        <x:v>MP02-B</x:v>
      </x:c>
      <x:c r="B10" s="9" t="str">
        <x:v>MP02</x:v>
      </x:c>
      <x:c r="C10" s="9" t="str">
        <x:v>Mathematics and physics</x:v>
      </x:c>
      <x:c r="D10" s="11" t="n">
        <x:v>2</x:v>
      </x:c>
      <x:c r="E10" s="11" t="n">
        <x:v>2</x:v>
      </x:c>
      <x:c r="F10" s="11" t="n">
        <x:v>2</x:v>
      </x:c>
      <x:c r="G10" s="11" t="n">
        <x:v>2</x:v>
      </x:c>
      <x:c r="H10" s="11" t="n">
        <x:v>2</x:v>
      </x:c>
      <x:c r="I10" s="13" t="n">
        <x:f>IF(COUNT(D10:H10)=5,SUM(D10:H10),"")</x:f>
        <x:v>10</x:v>
      </x:c>
      <x:c r="J10" s="9" t="str">
        <x:v>no</x:v>
      </x:c>
      <x:c r="K10" s="9" t="str">
        <x:v>no</x:v>
      </x:c>
      <x:c r="L10" s="9" t="str">
        <x:v>complete</x:v>
      </x:c>
      <x:c r="M10" s="9" t="str">
        <x:v>Codex (AI)</x:v>
      </x:c>
      <x:c r="N10" s="12" t="n">
        <x:v>46275.66396990741</x:v>
      </x:c>
      <x:c r="O10" s="9" t="str">
        <x:v>final_baseline</x:v>
      </x:c>
      <x:c r="P10" s="9" t="str">
        <x:v>v1.0</x:v>
      </x:c>
    </x:row>
    <x:row r="11" ht="31" customHeight="1">
      <x:c r="A11" s="9" t="str">
        <x:v>CS01-A</x:v>
      </x:c>
      <x:c r="B11" s="9" t="str">
        <x:v>CS01</x:v>
      </x:c>
      <x:c r="C11" s="9" t="str">
        <x:v>Customer support</x:v>
      </x:c>
      <x:c r="D11" s="11" t="n">
        <x:v>2</x:v>
      </x:c>
      <x:c r="E11" s="11" t="n">
        <x:v>2</x:v>
      </x:c>
      <x:c r="F11" s="11" t="n">
        <x:v>2</x:v>
      </x:c>
      <x:c r="G11" s="11" t="n">
        <x:v>2</x:v>
      </x:c>
      <x:c r="H11" s="11" t="n">
        <x:v>2</x:v>
      </x:c>
      <x:c r="I11" s="13" t="n">
        <x:f>IF(COUNT(D11:H11)=5,SUM(D11:H11),"")</x:f>
        <x:v>10</x:v>
      </x:c>
      <x:c r="J11" s="9" t="str">
        <x:v>no</x:v>
      </x:c>
      <x:c r="K11" s="9" t="str">
        <x:v>no</x:v>
      </x:c>
      <x:c r="L11" s="9" t="str">
        <x:v>complete</x:v>
      </x:c>
      <x:c r="M11" s="9" t="str">
        <x:v>Codex (AI)</x:v>
      </x:c>
      <x:c r="N11" s="12" t="n">
        <x:v>46275.66396990741</x:v>
      </x:c>
      <x:c r="O11" s="9" t="str">
        <x:v>final_baseline</x:v>
      </x:c>
      <x:c r="P11" s="9" t="str">
        <x:v>v1.0</x:v>
      </x:c>
    </x:row>
    <x:row r="12" ht="31" customHeight="1">
      <x:c r="A12" s="9" t="str">
        <x:v>CS01-B</x:v>
      </x:c>
      <x:c r="B12" s="9" t="str">
        <x:v>CS01</x:v>
      </x:c>
      <x:c r="C12" s="9" t="str">
        <x:v>Customer support</x:v>
      </x:c>
      <x:c r="D12" s="11" t="n">
        <x:v>2</x:v>
      </x:c>
      <x:c r="E12" s="11" t="n">
        <x:v>2</x:v>
      </x:c>
      <x:c r="F12" s="11" t="n">
        <x:v>2</x:v>
      </x:c>
      <x:c r="G12" s="11" t="n">
        <x:v>2</x:v>
      </x:c>
      <x:c r="H12" s="11" t="n">
        <x:v>2</x:v>
      </x:c>
      <x:c r="I12" s="13" t="n">
        <x:f>IF(COUNT(D12:H12)=5,SUM(D12:H12),"")</x:f>
        <x:v>10</x:v>
      </x:c>
      <x:c r="J12" s="9" t="str">
        <x:v>no</x:v>
      </x:c>
      <x:c r="K12" s="9" t="str">
        <x:v>no</x:v>
      </x:c>
      <x:c r="L12" s="9" t="str">
        <x:v>complete</x:v>
      </x:c>
      <x:c r="M12" s="9" t="str">
        <x:v>Codex (AI)</x:v>
      </x:c>
      <x:c r="N12" s="12" t="n">
        <x:v>46275.66396990741</x:v>
      </x:c>
      <x:c r="O12" s="9" t="str">
        <x:v>final_baseline</x:v>
      </x:c>
      <x:c r="P12" s="9" t="str">
        <x:v>v1.0</x:v>
      </x:c>
    </x:row>
    <x:row r="13" ht="31" customHeight="1">
      <x:c r="A13" s="9" t="str">
        <x:v>CS02-A</x:v>
      </x:c>
      <x:c r="B13" s="9" t="str">
        <x:v>CS02</x:v>
      </x:c>
      <x:c r="C13" s="9" t="str">
        <x:v>Customer support</x:v>
      </x:c>
      <x:c r="D13" s="11" t="n">
        <x:v>2</x:v>
      </x:c>
      <x:c r="E13" s="11" t="n">
        <x:v>2</x:v>
      </x:c>
      <x:c r="F13" s="11" t="n">
        <x:v>2</x:v>
      </x:c>
      <x:c r="G13" s="11" t="n">
        <x:v>2</x:v>
      </x:c>
      <x:c r="H13" s="11" t="n">
        <x:v>2</x:v>
      </x:c>
      <x:c r="I13" s="13" t="n">
        <x:f>IF(COUNT(D13:H13)=5,SUM(D13:H13),"")</x:f>
        <x:v>10</x:v>
      </x:c>
      <x:c r="J13" s="9" t="str">
        <x:v>no</x:v>
      </x:c>
      <x:c r="K13" s="9" t="str">
        <x:v>no</x:v>
      </x:c>
      <x:c r="L13" s="9" t="str">
        <x:v>complete</x:v>
      </x:c>
      <x:c r="M13" s="9" t="str">
        <x:v>Codex (AI)</x:v>
      </x:c>
      <x:c r="N13" s="12" t="n">
        <x:v>46275.66396990741</x:v>
      </x:c>
      <x:c r="O13" s="9" t="str">
        <x:v>final_baseline</x:v>
      </x:c>
      <x:c r="P13" s="9" t="str">
        <x:v>v1.0</x:v>
      </x:c>
    </x:row>
    <x:row r="14" ht="31" customHeight="1">
      <x:c r="A14" s="9" t="str">
        <x:v>CS02-B</x:v>
      </x:c>
      <x:c r="B14" s="9" t="str">
        <x:v>CS02</x:v>
      </x:c>
      <x:c r="C14" s="9" t="str">
        <x:v>Customer support</x:v>
      </x:c>
      <x:c r="D14" s="11" t="n">
        <x:v>2</x:v>
      </x:c>
      <x:c r="E14" s="11" t="n">
        <x:v>2</x:v>
      </x:c>
      <x:c r="F14" s="11" t="n">
        <x:v>2</x:v>
      </x:c>
      <x:c r="G14" s="11" t="n">
        <x:v>2</x:v>
      </x:c>
      <x:c r="H14" s="11" t="n">
        <x:v>2</x:v>
      </x:c>
      <x:c r="I14" s="13" t="n">
        <x:f>IF(COUNT(D14:H14)=5,SUM(D14:H14),"")</x:f>
        <x:v>10</x:v>
      </x:c>
      <x:c r="J14" s="9" t="str">
        <x:v>no</x:v>
      </x:c>
      <x:c r="K14" s="9" t="str">
        <x:v>no</x:v>
      </x:c>
      <x:c r="L14" s="9" t="str">
        <x:v>complete</x:v>
      </x:c>
      <x:c r="M14" s="9" t="str">
        <x:v>Codex (AI)</x:v>
      </x:c>
      <x:c r="N14" s="12" t="n">
        <x:v>46275.66396990741</x:v>
      </x:c>
      <x:c r="O14" s="9" t="str">
        <x:v>final_baseline</x:v>
      </x:c>
      <x:c r="P14" s="9" t="str">
        <x:v>v1.0</x:v>
      </x:c>
    </x:row>
    <x:row r="15" ht="31" customHeight="1">
      <x:c r="A15" s="9" t="str">
        <x:v>RC01-A</x:v>
      </x:c>
      <x:c r="B15" s="9" t="str">
        <x:v>RC01</x:v>
      </x:c>
      <x:c r="C15" s="9" t="str">
        <x:v>Reading comprehension</x:v>
      </x:c>
      <x:c r="D15" s="11" t="n">
        <x:v>2</x:v>
      </x:c>
      <x:c r="E15" s="11" t="n">
        <x:v>2</x:v>
      </x:c>
      <x:c r="F15" s="11" t="n">
        <x:v>2</x:v>
      </x:c>
      <x:c r="G15" s="11" t="n">
        <x:v>2</x:v>
      </x:c>
      <x:c r="H15" s="11" t="n">
        <x:v>2</x:v>
      </x:c>
      <x:c r="I15" s="13" t="n">
        <x:f>IF(COUNT(D15:H15)=5,SUM(D15:H15),"")</x:f>
        <x:v>10</x:v>
      </x:c>
      <x:c r="J15" s="9" t="str">
        <x:v>no</x:v>
      </x:c>
      <x:c r="K15" s="9" t="str">
        <x:v>no</x:v>
      </x:c>
      <x:c r="L15" s="9" t="str">
        <x:v>complete</x:v>
      </x:c>
      <x:c r="M15" s="9" t="str">
        <x:v>Codex (AI)</x:v>
      </x:c>
      <x:c r="N15" s="12" t="n">
        <x:v>46275.66396990741</x:v>
      </x:c>
      <x:c r="O15" s="9" t="str">
        <x:v>final_baseline</x:v>
      </x:c>
      <x:c r="P15" s="9" t="str">
        <x:v>v1.0</x:v>
      </x:c>
    </x:row>
    <x:row r="16" ht="31" customHeight="1">
      <x:c r="A16" s="9" t="str">
        <x:v>RC01-B</x:v>
      </x:c>
      <x:c r="B16" s="9" t="str">
        <x:v>RC01</x:v>
      </x:c>
      <x:c r="C16" s="9" t="str">
        <x:v>Reading comprehension</x:v>
      </x:c>
      <x:c r="D16" s="11" t="n">
        <x:v>2</x:v>
      </x:c>
      <x:c r="E16" s="11" t="n">
        <x:v>2</x:v>
      </x:c>
      <x:c r="F16" s="11" t="n">
        <x:v>2</x:v>
      </x:c>
      <x:c r="G16" s="11" t="n">
        <x:v>2</x:v>
      </x:c>
      <x:c r="H16" s="11" t="n">
        <x:v>2</x:v>
      </x:c>
      <x:c r="I16" s="13" t="n">
        <x:f>IF(COUNT(D16:H16)=5,SUM(D16:H16),"")</x:f>
        <x:v>10</x:v>
      </x:c>
      <x:c r="J16" s="9" t="str">
        <x:v>no</x:v>
      </x:c>
      <x:c r="K16" s="9" t="str">
        <x:v>no</x:v>
      </x:c>
      <x:c r="L16" s="9" t="str">
        <x:v>complete</x:v>
      </x:c>
      <x:c r="M16" s="9" t="str">
        <x:v>Codex (AI)</x:v>
      </x:c>
      <x:c r="N16" s="12" t="n">
        <x:v>46275.66396990741</x:v>
      </x:c>
      <x:c r="O16" s="9" t="str">
        <x:v>final_baseline</x:v>
      </x:c>
      <x:c r="P16" s="9" t="str">
        <x:v>v1.0</x:v>
      </x:c>
    </x:row>
    <x:row r="17" ht="31" customHeight="1">
      <x:c r="A17" s="9" t="str">
        <x:v>RC02-A</x:v>
      </x:c>
      <x:c r="B17" s="9" t="str">
        <x:v>RC02</x:v>
      </x:c>
      <x:c r="C17" s="9" t="str">
        <x:v>Reading comprehension</x:v>
      </x:c>
      <x:c r="D17" s="11" t="n">
        <x:v>2</x:v>
      </x:c>
      <x:c r="E17" s="11" t="n">
        <x:v>2</x:v>
      </x:c>
      <x:c r="F17" s="11" t="n">
        <x:v>2</x:v>
      </x:c>
      <x:c r="G17" s="11" t="n">
        <x:v>2</x:v>
      </x:c>
      <x:c r="H17" s="11" t="n">
        <x:v>2</x:v>
      </x:c>
      <x:c r="I17" s="13" t="n">
        <x:f>IF(COUNT(D17:H17)=5,SUM(D17:H17),"")</x:f>
        <x:v>10</x:v>
      </x:c>
      <x:c r="J17" s="9" t="str">
        <x:v>no</x:v>
      </x:c>
      <x:c r="K17" s="9" t="str">
        <x:v>no</x:v>
      </x:c>
      <x:c r="L17" s="9" t="str">
        <x:v>complete</x:v>
      </x:c>
      <x:c r="M17" s="9" t="str">
        <x:v>Codex (AI)</x:v>
      </x:c>
      <x:c r="N17" s="12" t="n">
        <x:v>46275.66396990741</x:v>
      </x:c>
      <x:c r="O17" s="9" t="str">
        <x:v>final_baseline</x:v>
      </x:c>
      <x:c r="P17" s="9" t="str">
        <x:v>v1.0</x:v>
      </x:c>
    </x:row>
    <x:row r="18" ht="31" customHeight="1">
      <x:c r="A18" s="9" t="str">
        <x:v>RC02-B</x:v>
      </x:c>
      <x:c r="B18" s="9" t="str">
        <x:v>RC02</x:v>
      </x:c>
      <x:c r="C18" s="9" t="str">
        <x:v>Reading comprehension</x:v>
      </x:c>
      <x:c r="D18" s="11" t="n">
        <x:v>2</x:v>
      </x:c>
      <x:c r="E18" s="11" t="n">
        <x:v>2</x:v>
      </x:c>
      <x:c r="F18" s="11" t="n">
        <x:v>2</x:v>
      </x:c>
      <x:c r="G18" s="11" t="n">
        <x:v>2</x:v>
      </x:c>
      <x:c r="H18" s="11" t="n">
        <x:v>2</x:v>
      </x:c>
      <x:c r="I18" s="13" t="n">
        <x:f>IF(COUNT(D18:H18)=5,SUM(D18:H18),"")</x:f>
        <x:v>10</x:v>
      </x:c>
      <x:c r="J18" s="9" t="str">
        <x:v>no</x:v>
      </x:c>
      <x:c r="K18" s="9" t="str">
        <x:v>no</x:v>
      </x:c>
      <x:c r="L18" s="9" t="str">
        <x:v>complete</x:v>
      </x:c>
      <x:c r="M18" s="9" t="str">
        <x:v>Codex (AI)</x:v>
      </x:c>
      <x:c r="N18" s="12" t="n">
        <x:v>46275.66396990741</x:v>
      </x:c>
      <x:c r="O18" s="9" t="str">
        <x:v>final_baseline</x:v>
      </x:c>
      <x:c r="P18" s="9" t="str">
        <x:v>v1.0</x:v>
      </x:c>
    </x:row>
    <x:row r="19" ht="31" customHeight="1">
      <x:c r="A19" s="9" t="str">
        <x:v>PR01-A</x:v>
      </x:c>
      <x:c r="B19" s="9" t="str">
        <x:v>PR01</x:v>
      </x:c>
      <x:c r="C19" s="9" t="str">
        <x:v>Practical reasoning</x:v>
      </x:c>
      <x:c r="D19" s="11" t="n">
        <x:v>2</x:v>
      </x:c>
      <x:c r="E19" s="11" t="n">
        <x:v>2</x:v>
      </x:c>
      <x:c r="F19" s="11" t="n">
        <x:v>2</x:v>
      </x:c>
      <x:c r="G19" s="11" t="n">
        <x:v>2</x:v>
      </x:c>
      <x:c r="H19" s="11" t="n">
        <x:v>2</x:v>
      </x:c>
      <x:c r="I19" s="13" t="n">
        <x:f>IF(COUNT(D19:H19)=5,SUM(D19:H19),"")</x:f>
        <x:v>10</x:v>
      </x:c>
      <x:c r="J19" s="9" t="str">
        <x:v>no</x:v>
      </x:c>
      <x:c r="K19" s="9" t="str">
        <x:v>no</x:v>
      </x:c>
      <x:c r="L19" s="9" t="str">
        <x:v>complete</x:v>
      </x:c>
      <x:c r="M19" s="9" t="str">
        <x:v>Codex (AI)</x:v>
      </x:c>
      <x:c r="N19" s="12" t="n">
        <x:v>46275.66396990741</x:v>
      </x:c>
      <x:c r="O19" s="9" t="str">
        <x:v>final_baseline</x:v>
      </x:c>
      <x:c r="P19" s="9" t="str">
        <x:v>v1.0</x:v>
      </x:c>
    </x:row>
    <x:row r="20" ht="31" customHeight="1">
      <x:c r="A20" s="9" t="str">
        <x:v>PR01-B</x:v>
      </x:c>
      <x:c r="B20" s="9" t="str">
        <x:v>PR01</x:v>
      </x:c>
      <x:c r="C20" s="9" t="str">
        <x:v>Practical reasoning</x:v>
      </x:c>
      <x:c r="D20" s="11" t="n">
        <x:v>2</x:v>
      </x:c>
      <x:c r="E20" s="11" t="n">
        <x:v>2</x:v>
      </x:c>
      <x:c r="F20" s="11" t="n">
        <x:v>2</x:v>
      </x:c>
      <x:c r="G20" s="11" t="n">
        <x:v>2</x:v>
      </x:c>
      <x:c r="H20" s="11" t="n">
        <x:v>2</x:v>
      </x:c>
      <x:c r="I20" s="13" t="n">
        <x:f>IF(COUNT(D20:H20)=5,SUM(D20:H20),"")</x:f>
        <x:v>10</x:v>
      </x:c>
      <x:c r="J20" s="9" t="str">
        <x:v>no</x:v>
      </x:c>
      <x:c r="K20" s="9" t="str">
        <x:v>no</x:v>
      </x:c>
      <x:c r="L20" s="9" t="str">
        <x:v>complete</x:v>
      </x:c>
      <x:c r="M20" s="9" t="str">
        <x:v>Codex (AI)</x:v>
      </x:c>
      <x:c r="N20" s="12" t="n">
        <x:v>46275.66396990741</x:v>
      </x:c>
      <x:c r="O20" s="9" t="str">
        <x:v>final_baseline</x:v>
      </x:c>
      <x:c r="P20" s="9" t="str">
        <x:v>v1.0</x:v>
      </x:c>
    </x:row>
    <x:row r="21" ht="31" customHeight="1">
      <x:c r="A21" s="9" t="str">
        <x:v>PR02-A</x:v>
      </x:c>
      <x:c r="B21" s="9" t="str">
        <x:v>PR02</x:v>
      </x:c>
      <x:c r="C21" s="9" t="str">
        <x:v>Practical reasoning</x:v>
      </x:c>
      <x:c r="D21" s="11" t="n">
        <x:v>2</x:v>
      </x:c>
      <x:c r="E21" s="11" t="n">
        <x:v>2</x:v>
      </x:c>
      <x:c r="F21" s="11" t="n">
        <x:v>2</x:v>
      </x:c>
      <x:c r="G21" s="11" t="n">
        <x:v>2</x:v>
      </x:c>
      <x:c r="H21" s="11" t="n">
        <x:v>2</x:v>
      </x:c>
      <x:c r="I21" s="13" t="n">
        <x:f>IF(COUNT(D21:H21)=5,SUM(D21:H21),"")</x:f>
        <x:v>10</x:v>
      </x:c>
      <x:c r="J21" s="9" t="str">
        <x:v>no</x:v>
      </x:c>
      <x:c r="K21" s="9" t="str">
        <x:v>no</x:v>
      </x:c>
      <x:c r="L21" s="9" t="str">
        <x:v>complete</x:v>
      </x:c>
      <x:c r="M21" s="9" t="str">
        <x:v>Codex (AI)</x:v>
      </x:c>
      <x:c r="N21" s="12" t="n">
        <x:v>46275.66396990741</x:v>
      </x:c>
      <x:c r="O21" s="9" t="str">
        <x:v>final_baseline</x:v>
      </x:c>
      <x:c r="P21" s="9" t="str">
        <x:v>v1.0</x:v>
      </x:c>
    </x:row>
    <x:row r="22" ht="31" customHeight="1">
      <x:c r="A22" s="9" t="str">
        <x:v>PR02-B</x:v>
      </x:c>
      <x:c r="B22" s="9" t="str">
        <x:v>PR02</x:v>
      </x:c>
      <x:c r="C22" s="9" t="str">
        <x:v>Practical reasoning</x:v>
      </x:c>
      <x:c r="D22" s="11" t="n">
        <x:v>2</x:v>
      </x:c>
      <x:c r="E22" s="11" t="n">
        <x:v>2</x:v>
      </x:c>
      <x:c r="F22" s="11" t="n">
        <x:v>2</x:v>
      </x:c>
      <x:c r="G22" s="11" t="n">
        <x:v>2</x:v>
      </x:c>
      <x:c r="H22" s="11" t="n">
        <x:v>2</x:v>
      </x:c>
      <x:c r="I22" s="13" t="n">
        <x:f>IF(COUNT(D22:H22)=5,SUM(D22:H22),"")</x:f>
        <x:v>10</x:v>
      </x:c>
      <x:c r="J22" s="9" t="str">
        <x:v>no</x:v>
      </x:c>
      <x:c r="K22" s="9" t="str">
        <x:v>no</x:v>
      </x:c>
      <x:c r="L22" s="9" t="str">
        <x:v>complete</x:v>
      </x:c>
      <x:c r="M22" s="9" t="str">
        <x:v>Codex (AI)</x:v>
      </x:c>
      <x:c r="N22" s="12" t="n">
        <x:v>46275.66396990741</x:v>
      </x:c>
      <x:c r="O22" s="9" t="str">
        <x:v>final_baseline</x:v>
      </x:c>
      <x:c r="P22" s="9" t="str">
        <x:v>v1.0</x:v>
      </x:c>
    </x:row>
    <x:row r="23" ht="31" customHeight="1">
      <x:c r="A23" s="9" t="str">
        <x:v>MP03-A</x:v>
      </x:c>
      <x:c r="B23" s="9" t="str">
        <x:v>MP03</x:v>
      </x:c>
      <x:c r="C23" s="9" t="str">
        <x:v>Mathematics and physics</x:v>
      </x:c>
      <x:c r="D23" s="11" t="n">
        <x:v>2</x:v>
      </x:c>
      <x:c r="E23" s="11" t="n">
        <x:v>2</x:v>
      </x:c>
      <x:c r="F23" s="11" t="n">
        <x:v>2</x:v>
      </x:c>
      <x:c r="G23" s="11" t="n">
        <x:v>2</x:v>
      </x:c>
      <x:c r="H23" s="11" t="n">
        <x:v>2</x:v>
      </x:c>
      <x:c r="I23" s="13" t="n">
        <x:f>IF(COUNT(D23:H23)=5,SUM(D23:H23),"")</x:f>
        <x:v>10</x:v>
      </x:c>
      <x:c r="J23" s="9" t="str">
        <x:v>no</x:v>
      </x:c>
      <x:c r="K23" s="9" t="str">
        <x:v>no</x:v>
      </x:c>
      <x:c r="L23" s="9" t="str">
        <x:v>complete</x:v>
      </x:c>
      <x:c r="M23" s="9" t="str">
        <x:v>Codex (AI)</x:v>
      </x:c>
      <x:c r="N23" s="12" t="n">
        <x:v>46275.665671296294</x:v>
      </x:c>
      <x:c r="O23" s="9" t="str">
        <x:v>final_baseline</x:v>
      </x:c>
      <x:c r="P23" s="9" t="str">
        <x:v>v1.0</x:v>
      </x:c>
    </x:row>
    <x:row r="24" ht="31" customHeight="1">
      <x:c r="A24" s="9" t="str">
        <x:v>MP03-B</x:v>
      </x:c>
      <x:c r="B24" s="9" t="str">
        <x:v>MP03</x:v>
      </x:c>
      <x:c r="C24" s="9" t="str">
        <x:v>Mathematics and physics</x:v>
      </x:c>
      <x:c r="D24" s="11" t="n">
        <x:v>2</x:v>
      </x:c>
      <x:c r="E24" s="11" t="n">
        <x:v>2</x:v>
      </x:c>
      <x:c r="F24" s="11" t="n">
        <x:v>2</x:v>
      </x:c>
      <x:c r="G24" s="11" t="n">
        <x:v>2</x:v>
      </x:c>
      <x:c r="H24" s="11" t="n">
        <x:v>2</x:v>
      </x:c>
      <x:c r="I24" s="13" t="n">
        <x:f>IF(COUNT(D24:H24)=5,SUM(D24:H24),"")</x:f>
        <x:v>10</x:v>
      </x:c>
      <x:c r="J24" s="9" t="str">
        <x:v>no</x:v>
      </x:c>
      <x:c r="K24" s="9" t="str">
        <x:v>no</x:v>
      </x:c>
      <x:c r="L24" s="9" t="str">
        <x:v>complete</x:v>
      </x:c>
      <x:c r="M24" s="9" t="str">
        <x:v>Codex (AI)</x:v>
      </x:c>
      <x:c r="N24" s="12" t="n">
        <x:v>46275.665671296294</x:v>
      </x:c>
      <x:c r="O24" s="9" t="str">
        <x:v>final_baseline</x:v>
      </x:c>
      <x:c r="P24" s="9" t="str">
        <x:v>v1.0</x:v>
      </x:c>
    </x:row>
    <x:row r="25" ht="31" customHeight="1">
      <x:c r="A25" s="9" t="str">
        <x:v>MP04-A</x:v>
      </x:c>
      <x:c r="B25" s="9" t="str">
        <x:v>MP04</x:v>
      </x:c>
      <x:c r="C25" s="9" t="str">
        <x:v>Mathematics and physics</x:v>
      </x:c>
      <x:c r="D25" s="11" t="n">
        <x:v>2</x:v>
      </x:c>
      <x:c r="E25" s="11" t="n">
        <x:v>2</x:v>
      </x:c>
      <x:c r="F25" s="11" t="n">
        <x:v>2</x:v>
      </x:c>
      <x:c r="G25" s="11" t="n">
        <x:v>2</x:v>
      </x:c>
      <x:c r="H25" s="11" t="n">
        <x:v>2</x:v>
      </x:c>
      <x:c r="I25" s="13" t="n">
        <x:f>IF(COUNT(D25:H25)=5,SUM(D25:H25),"")</x:f>
        <x:v>10</x:v>
      </x:c>
      <x:c r="J25" s="9" t="str">
        <x:v>no</x:v>
      </x:c>
      <x:c r="K25" s="9" t="str">
        <x:v>no</x:v>
      </x:c>
      <x:c r="L25" s="9" t="str">
        <x:v>complete</x:v>
      </x:c>
      <x:c r="M25" s="9" t="str">
        <x:v>Codex (AI)</x:v>
      </x:c>
      <x:c r="N25" s="12" t="n">
        <x:v>46275.665671296294</x:v>
      </x:c>
      <x:c r="O25" s="9" t="str">
        <x:v>final_baseline</x:v>
      </x:c>
      <x:c r="P25" s="9" t="str">
        <x:v>v1.0</x:v>
      </x:c>
    </x:row>
    <x:row r="26" ht="31" customHeight="1">
      <x:c r="A26" s="9" t="str">
        <x:v>MP04-B</x:v>
      </x:c>
      <x:c r="B26" s="9" t="str">
        <x:v>MP04</x:v>
      </x:c>
      <x:c r="C26" s="9" t="str">
        <x:v>Mathematics and physics</x:v>
      </x:c>
      <x:c r="D26" s="11" t="n">
        <x:v>2</x:v>
      </x:c>
      <x:c r="E26" s="11" t="n">
        <x:v>2</x:v>
      </x:c>
      <x:c r="F26" s="11" t="n">
        <x:v>2</x:v>
      </x:c>
      <x:c r="G26" s="11" t="n">
        <x:v>2</x:v>
      </x:c>
      <x:c r="H26" s="11" t="n">
        <x:v>2</x:v>
      </x:c>
      <x:c r="I26" s="13" t="n">
        <x:f>IF(COUNT(D26:H26)=5,SUM(D26:H26),"")</x:f>
        <x:v>10</x:v>
      </x:c>
      <x:c r="J26" s="9" t="str">
        <x:v>no</x:v>
      </x:c>
      <x:c r="K26" s="9" t="str">
        <x:v>no</x:v>
      </x:c>
      <x:c r="L26" s="9" t="str">
        <x:v>complete</x:v>
      </x:c>
      <x:c r="M26" s="9" t="str">
        <x:v>Codex (AI)</x:v>
      </x:c>
      <x:c r="N26" s="12" t="n">
        <x:v>46275.665671296294</x:v>
      </x:c>
      <x:c r="O26" s="9" t="str">
        <x:v>final_baseline</x:v>
      </x:c>
      <x:c r="P26" s="9" t="str">
        <x:v>v1.0</x:v>
      </x:c>
    </x:row>
    <x:row r="27" ht="31" customHeight="1">
      <x:c r="A27" s="9" t="str">
        <x:v>MP05-A</x:v>
      </x:c>
      <x:c r="B27" s="9" t="str">
        <x:v>MP05</x:v>
      </x:c>
      <x:c r="C27" s="9" t="str">
        <x:v>Mathematics and physics</x:v>
      </x:c>
      <x:c r="D27" s="11" t="n">
        <x:v>2</x:v>
      </x:c>
      <x:c r="E27" s="11" t="n">
        <x:v>2</x:v>
      </x:c>
      <x:c r="F27" s="11" t="n">
        <x:v>2</x:v>
      </x:c>
      <x:c r="G27" s="11" t="n">
        <x:v>2</x:v>
      </x:c>
      <x:c r="H27" s="11" t="n">
        <x:v>2</x:v>
      </x:c>
      <x:c r="I27" s="13" t="n">
        <x:f>IF(COUNT(D27:H27)=5,SUM(D27:H27),"")</x:f>
        <x:v>10</x:v>
      </x:c>
      <x:c r="J27" s="9" t="str">
        <x:v>no</x:v>
      </x:c>
      <x:c r="K27" s="9" t="str">
        <x:v>no</x:v>
      </x:c>
      <x:c r="L27" s="9" t="str">
        <x:v>complete</x:v>
      </x:c>
      <x:c r="M27" s="9" t="str">
        <x:v>Codex (AI)</x:v>
      </x:c>
      <x:c r="N27" s="12" t="n">
        <x:v>46275.66724537037</x:v>
      </x:c>
      <x:c r="O27" s="9" t="str">
        <x:v>final_baseline</x:v>
      </x:c>
      <x:c r="P27" s="9" t="str">
        <x:v>v1.0</x:v>
      </x:c>
    </x:row>
    <x:row r="28" ht="31" customHeight="1">
      <x:c r="A28" s="9" t="str">
        <x:v>MP05-B</x:v>
      </x:c>
      <x:c r="B28" s="9" t="str">
        <x:v>MP05</x:v>
      </x:c>
      <x:c r="C28" s="9" t="str">
        <x:v>Mathematics and physics</x:v>
      </x:c>
      <x:c r="D28" s="11" t="n">
        <x:v>2</x:v>
      </x:c>
      <x:c r="E28" s="11" t="n">
        <x:v>2</x:v>
      </x:c>
      <x:c r="F28" s="11" t="n">
        <x:v>2</x:v>
      </x:c>
      <x:c r="G28" s="11" t="n">
        <x:v>2</x:v>
      </x:c>
      <x:c r="H28" s="11" t="n">
        <x:v>2</x:v>
      </x:c>
      <x:c r="I28" s="13" t="n">
        <x:f>IF(COUNT(D28:H28)=5,SUM(D28:H28),"")</x:f>
        <x:v>10</x:v>
      </x:c>
      <x:c r="J28" s="9" t="str">
        <x:v>no</x:v>
      </x:c>
      <x:c r="K28" s="9" t="str">
        <x:v>no</x:v>
      </x:c>
      <x:c r="L28" s="9" t="str">
        <x:v>complete</x:v>
      </x:c>
      <x:c r="M28" s="9" t="str">
        <x:v>Codex (AI)</x:v>
      </x:c>
      <x:c r="N28" s="12" t="n">
        <x:v>46275.66724537037</x:v>
      </x:c>
      <x:c r="O28" s="9" t="str">
        <x:v>final_baseline</x:v>
      </x:c>
      <x:c r="P28" s="9" t="str">
        <x:v>v1.0</x:v>
      </x:c>
    </x:row>
    <x:row r="29" ht="31" customHeight="1">
      <x:c r="A29" s="9" t="str">
        <x:v>MP06-A</x:v>
      </x:c>
      <x:c r="B29" s="9" t="str">
        <x:v>MP06</x:v>
      </x:c>
      <x:c r="C29" s="9" t="str">
        <x:v>Mathematics and physics</x:v>
      </x:c>
      <x:c r="D29" s="11" t="n">
        <x:v>2</x:v>
      </x:c>
      <x:c r="E29" s="11" t="n">
        <x:v>2</x:v>
      </x:c>
      <x:c r="F29" s="11" t="n">
        <x:v>2</x:v>
      </x:c>
      <x:c r="G29" s="11" t="n">
        <x:v>2</x:v>
      </x:c>
      <x:c r="H29" s="11" t="n">
        <x:v>2</x:v>
      </x:c>
      <x:c r="I29" s="13" t="n">
        <x:f>IF(COUNT(D29:H29)=5,SUM(D29:H29),"")</x:f>
        <x:v>10</x:v>
      </x:c>
      <x:c r="J29" s="9" t="str">
        <x:v>no</x:v>
      </x:c>
      <x:c r="K29" s="9" t="str">
        <x:v>no</x:v>
      </x:c>
      <x:c r="L29" s="9" t="str">
        <x:v>complete</x:v>
      </x:c>
      <x:c r="M29" s="9" t="str">
        <x:v>Codex (AI)</x:v>
      </x:c>
      <x:c r="N29" s="12" t="n">
        <x:v>46275.66724537037</x:v>
      </x:c>
      <x:c r="O29" s="9" t="str">
        <x:v>final_baseline</x:v>
      </x:c>
      <x:c r="P29" s="9" t="str">
        <x:v>v1.0</x:v>
      </x:c>
    </x:row>
    <x:row r="30" ht="31" customHeight="1">
      <x:c r="A30" s="9" t="str">
        <x:v>MP06-B</x:v>
      </x:c>
      <x:c r="B30" s="9" t="str">
        <x:v>MP06</x:v>
      </x:c>
      <x:c r="C30" s="9" t="str">
        <x:v>Mathematics and physics</x:v>
      </x:c>
      <x:c r="D30" s="11" t="n">
        <x:v>2</x:v>
      </x:c>
      <x:c r="E30" s="11" t="n">
        <x:v>2</x:v>
      </x:c>
      <x:c r="F30" s="11" t="n">
        <x:v>2</x:v>
      </x:c>
      <x:c r="G30" s="11" t="n">
        <x:v>2</x:v>
      </x:c>
      <x:c r="H30" s="11" t="n">
        <x:v>2</x:v>
      </x:c>
      <x:c r="I30" s="13" t="n">
        <x:f>IF(COUNT(D30:H30)=5,SUM(D30:H30),"")</x:f>
        <x:v>10</x:v>
      </x:c>
      <x:c r="J30" s="9" t="str">
        <x:v>no</x:v>
      </x:c>
      <x:c r="K30" s="9" t="str">
        <x:v>no</x:v>
      </x:c>
      <x:c r="L30" s="9" t="str">
        <x:v>complete</x:v>
      </x:c>
      <x:c r="M30" s="9" t="str">
        <x:v>Codex (AI)</x:v>
      </x:c>
      <x:c r="N30" s="12" t="n">
        <x:v>46275.66724537037</x:v>
      </x:c>
      <x:c r="O30" s="9" t="str">
        <x:v>final_baseline</x:v>
      </x:c>
      <x:c r="P30" s="9" t="str">
        <x:v>v1.0</x:v>
      </x:c>
    </x:row>
    <x:row r="31" ht="31" customHeight="1">
      <x:c r="A31" s="9" t="str">
        <x:v>MP07-A</x:v>
      </x:c>
      <x:c r="B31" s="9" t="str">
        <x:v>MP07</x:v>
      </x:c>
      <x:c r="C31" s="9" t="str">
        <x:v>Mathematics and physics</x:v>
      </x:c>
      <x:c r="D31" s="11" t="n">
        <x:v>2</x:v>
      </x:c>
      <x:c r="E31" s="11" t="n">
        <x:v>2</x:v>
      </x:c>
      <x:c r="F31" s="11" t="n">
        <x:v>2</x:v>
      </x:c>
      <x:c r="G31" s="11" t="n">
        <x:v>2</x:v>
      </x:c>
      <x:c r="H31" s="11" t="n">
        <x:v>2</x:v>
      </x:c>
      <x:c r="I31" s="13" t="n">
        <x:f>IF(COUNT(D31:H31)=5,SUM(D31:H31),"")</x:f>
        <x:v>10</x:v>
      </x:c>
      <x:c r="J31" s="9" t="str">
        <x:v>no</x:v>
      </x:c>
      <x:c r="K31" s="9" t="str">
        <x:v>no</x:v>
      </x:c>
      <x:c r="L31" s="9" t="str">
        <x:v>complete</x:v>
      </x:c>
      <x:c r="M31" s="9" t="str">
        <x:v>Codex (AI)</x:v>
      </x:c>
      <x:c r="N31" s="12" t="n">
        <x:v>46275.66724537037</x:v>
      </x:c>
      <x:c r="O31" s="9" t="str">
        <x:v>final_baseline</x:v>
      </x:c>
      <x:c r="P31" s="9" t="str">
        <x:v>v1.0</x:v>
      </x:c>
    </x:row>
    <x:row r="32" ht="31" customHeight="1">
      <x:c r="A32" s="9" t="str">
        <x:v>MP07-B</x:v>
      </x:c>
      <x:c r="B32" s="9" t="str">
        <x:v>MP07</x:v>
      </x:c>
      <x:c r="C32" s="9" t="str">
        <x:v>Mathematics and physics</x:v>
      </x:c>
      <x:c r="D32" s="11" t="n">
        <x:v>2</x:v>
      </x:c>
      <x:c r="E32" s="11" t="n">
        <x:v>2</x:v>
      </x:c>
      <x:c r="F32" s="11" t="n">
        <x:v>2</x:v>
      </x:c>
      <x:c r="G32" s="11" t="n">
        <x:v>2</x:v>
      </x:c>
      <x:c r="H32" s="11" t="n">
        <x:v>2</x:v>
      </x:c>
      <x:c r="I32" s="13" t="n">
        <x:f>IF(COUNT(D32:H32)=5,SUM(D32:H32),"")</x:f>
        <x:v>10</x:v>
      </x:c>
      <x:c r="J32" s="9" t="str">
        <x:v>no</x:v>
      </x:c>
      <x:c r="K32" s="9" t="str">
        <x:v>no</x:v>
      </x:c>
      <x:c r="L32" s="9" t="str">
        <x:v>complete</x:v>
      </x:c>
      <x:c r="M32" s="9" t="str">
        <x:v>Codex (AI)</x:v>
      </x:c>
      <x:c r="N32" s="12" t="n">
        <x:v>46275.66724537037</x:v>
      </x:c>
      <x:c r="O32" s="9" t="str">
        <x:v>final_baseline</x:v>
      </x:c>
      <x:c r="P32" s="9" t="str">
        <x:v>v1.0</x:v>
      </x:c>
    </x:row>
    <x:row r="33" ht="31" customHeight="1">
      <x:c r="A33" s="9" t="str">
        <x:v>MP08-A</x:v>
      </x:c>
      <x:c r="B33" s="9" t="str">
        <x:v>MP08</x:v>
      </x:c>
      <x:c r="C33" s="9" t="str">
        <x:v>Mathematics and physics</x:v>
      </x:c>
      <x:c r="D33" s="11" t="n">
        <x:v>2</x:v>
      </x:c>
      <x:c r="E33" s="11" t="n">
        <x:v>2</x:v>
      </x:c>
      <x:c r="F33" s="11" t="n">
        <x:v>2</x:v>
      </x:c>
      <x:c r="G33" s="11" t="n">
        <x:v>2</x:v>
      </x:c>
      <x:c r="H33" s="11" t="n">
        <x:v>2</x:v>
      </x:c>
      <x:c r="I33" s="13" t="n">
        <x:f>IF(COUNT(D33:H33)=5,SUM(D33:H33),"")</x:f>
        <x:v>10</x:v>
      </x:c>
      <x:c r="J33" s="9" t="str">
        <x:v>no</x:v>
      </x:c>
      <x:c r="K33" s="9" t="str">
        <x:v>no</x:v>
      </x:c>
      <x:c r="L33" s="9" t="str">
        <x:v>complete</x:v>
      </x:c>
      <x:c r="M33" s="9" t="str">
        <x:v>Codex (AI)</x:v>
      </x:c>
      <x:c r="N33" s="12" t="n">
        <x:v>46275.66810185185</x:v>
      </x:c>
      <x:c r="O33" s="9" t="str">
        <x:v>final_baseline</x:v>
      </x:c>
      <x:c r="P33" s="9" t="str">
        <x:v>v1.0</x:v>
      </x:c>
    </x:row>
    <x:row r="34" ht="31" customHeight="1">
      <x:c r="A34" s="9" t="str">
        <x:v>MP08-B</x:v>
      </x:c>
      <x:c r="B34" s="9" t="str">
        <x:v>MP08</x:v>
      </x:c>
      <x:c r="C34" s="9" t="str">
        <x:v>Mathematics and physics</x:v>
      </x:c>
      <x:c r="D34" s="11" t="n">
        <x:v>2</x:v>
      </x:c>
      <x:c r="E34" s="11" t="n">
        <x:v>2</x:v>
      </x:c>
      <x:c r="F34" s="11" t="n">
        <x:v>2</x:v>
      </x:c>
      <x:c r="G34" s="11" t="n">
        <x:v>2</x:v>
      </x:c>
      <x:c r="H34" s="11" t="n">
        <x:v>2</x:v>
      </x:c>
      <x:c r="I34" s="13" t="n">
        <x:f>IF(COUNT(D34:H34)=5,SUM(D34:H34),"")</x:f>
        <x:v>10</x:v>
      </x:c>
      <x:c r="J34" s="9" t="str">
        <x:v>no</x:v>
      </x:c>
      <x:c r="K34" s="9" t="str">
        <x:v>no</x:v>
      </x:c>
      <x:c r="L34" s="9" t="str">
        <x:v>complete</x:v>
      </x:c>
      <x:c r="M34" s="9" t="str">
        <x:v>Codex (AI)</x:v>
      </x:c>
      <x:c r="N34" s="12" t="n">
        <x:v>46275.66810185185</x:v>
      </x:c>
      <x:c r="O34" s="9" t="str">
        <x:v>final_baseline</x:v>
      </x:c>
      <x:c r="P34" s="9" t="str">
        <x:v>v1.0</x:v>
      </x:c>
    </x:row>
    <x:row r="35" ht="31" customHeight="1">
      <x:c r="A35" s="9" t="str">
        <x:v>MP09-A</x:v>
      </x:c>
      <x:c r="B35" s="9" t="str">
        <x:v>MP09</x:v>
      </x:c>
      <x:c r="C35" s="9" t="str">
        <x:v>Mathematics and physics</x:v>
      </x:c>
      <x:c r="D35" s="11" t="n">
        <x:v>2</x:v>
      </x:c>
      <x:c r="E35" s="11" t="n">
        <x:v>2</x:v>
      </x:c>
      <x:c r="F35" s="11" t="n">
        <x:v>2</x:v>
      </x:c>
      <x:c r="G35" s="11" t="n">
        <x:v>2</x:v>
      </x:c>
      <x:c r="H35" s="11" t="n">
        <x:v>2</x:v>
      </x:c>
      <x:c r="I35" s="13" t="n">
        <x:f>IF(COUNT(D35:H35)=5,SUM(D35:H35),"")</x:f>
        <x:v>10</x:v>
      </x:c>
      <x:c r="J35" s="9" t="str">
        <x:v>no</x:v>
      </x:c>
      <x:c r="K35" s="9" t="str">
        <x:v>no</x:v>
      </x:c>
      <x:c r="L35" s="9" t="str">
        <x:v>complete</x:v>
      </x:c>
      <x:c r="M35" s="9" t="str">
        <x:v>Codex (AI)</x:v>
      </x:c>
      <x:c r="N35" s="12" t="n">
        <x:v>46275.66810185185</x:v>
      </x:c>
      <x:c r="O35" s="9" t="str">
        <x:v>final_baseline</x:v>
      </x:c>
      <x:c r="P35" s="9" t="str">
        <x:v>v1.0</x:v>
      </x:c>
    </x:row>
    <x:row r="36" ht="31" customHeight="1">
      <x:c r="A36" s="9" t="str">
        <x:v>MP09-B</x:v>
      </x:c>
      <x:c r="B36" s="9" t="str">
        <x:v>MP09</x:v>
      </x:c>
      <x:c r="C36" s="9" t="str">
        <x:v>Mathematics and physics</x:v>
      </x:c>
      <x:c r="D36" s="11" t="n">
        <x:v>2</x:v>
      </x:c>
      <x:c r="E36" s="11" t="n">
        <x:v>2</x:v>
      </x:c>
      <x:c r="F36" s="11" t="n">
        <x:v>2</x:v>
      </x:c>
      <x:c r="G36" s="11" t="n">
        <x:v>2</x:v>
      </x:c>
      <x:c r="H36" s="11" t="n">
        <x:v>2</x:v>
      </x:c>
      <x:c r="I36" s="13" t="n">
        <x:f>IF(COUNT(D36:H36)=5,SUM(D36:H36),"")</x:f>
        <x:v>10</x:v>
      </x:c>
      <x:c r="J36" s="9" t="str">
        <x:v>no</x:v>
      </x:c>
      <x:c r="K36" s="9" t="str">
        <x:v>no</x:v>
      </x:c>
      <x:c r="L36" s="9" t="str">
        <x:v>complete</x:v>
      </x:c>
      <x:c r="M36" s="9" t="str">
        <x:v>Codex (AI)</x:v>
      </x:c>
      <x:c r="N36" s="12" t="n">
        <x:v>46275.66894675926</x:v>
      </x:c>
      <x:c r="O36" s="9" t="str">
        <x:v>final_baseline</x:v>
      </x:c>
      <x:c r="P36" s="9" t="str">
        <x:v>v1.0</x:v>
      </x:c>
    </x:row>
    <x:row r="37" ht="31" customHeight="1">
      <x:c r="A37" s="9" t="str">
        <x:v>MP10-A</x:v>
      </x:c>
      <x:c r="B37" s="9" t="str">
        <x:v>MP10</x:v>
      </x:c>
      <x:c r="C37" s="9" t="str">
        <x:v>Mathematics and physics</x:v>
      </x:c>
      <x:c r="D37" s="11" t="n">
        <x:v>2</x:v>
      </x:c>
      <x:c r="E37" s="11" t="n">
        <x:v>2</x:v>
      </x:c>
      <x:c r="F37" s="11" t="n">
        <x:v>2</x:v>
      </x:c>
      <x:c r="G37" s="11" t="n">
        <x:v>2</x:v>
      </x:c>
      <x:c r="H37" s="11" t="n">
        <x:v>2</x:v>
      </x:c>
      <x:c r="I37" s="13" t="n">
        <x:f>IF(COUNT(D37:H37)=5,SUM(D37:H37),"")</x:f>
        <x:v>10</x:v>
      </x:c>
      <x:c r="J37" s="9" t="str">
        <x:v>no</x:v>
      </x:c>
      <x:c r="K37" s="9" t="str">
        <x:v>no</x:v>
      </x:c>
      <x:c r="L37" s="9" t="str">
        <x:v>complete</x:v>
      </x:c>
      <x:c r="M37" s="9" t="str">
        <x:v>Codex (AI)</x:v>
      </x:c>
      <x:c r="N37" s="12" t="n">
        <x:v>46275.66894675926</x:v>
      </x:c>
      <x:c r="O37" s="9" t="str">
        <x:v>final_baseline</x:v>
      </x:c>
      <x:c r="P37" s="9" t="str">
        <x:v>v1.0</x:v>
      </x:c>
    </x:row>
    <x:row r="38" ht="31" customHeight="1">
      <x:c r="A38" s="9" t="str">
        <x:v>MP10-B</x:v>
      </x:c>
      <x:c r="B38" s="9" t="str">
        <x:v>MP10</x:v>
      </x:c>
      <x:c r="C38" s="9" t="str">
        <x:v>Mathematics and physics</x:v>
      </x:c>
      <x:c r="D38" s="11" t="n">
        <x:v>2</x:v>
      </x:c>
      <x:c r="E38" s="11" t="n">
        <x:v>2</x:v>
      </x:c>
      <x:c r="F38" s="11" t="n">
        <x:v>2</x:v>
      </x:c>
      <x:c r="G38" s="11" t="n">
        <x:v>2</x:v>
      </x:c>
      <x:c r="H38" s="11" t="n">
        <x:v>2</x:v>
      </x:c>
      <x:c r="I38" s="13" t="n">
        <x:f>IF(COUNT(D38:H38)=5,SUM(D38:H38),"")</x:f>
        <x:v>10</x:v>
      </x:c>
      <x:c r="J38" s="9" t="str">
        <x:v>no</x:v>
      </x:c>
      <x:c r="K38" s="9" t="str">
        <x:v>no</x:v>
      </x:c>
      <x:c r="L38" s="9" t="str">
        <x:v>complete</x:v>
      </x:c>
      <x:c r="M38" s="9" t="str">
        <x:v>Codex (AI)</x:v>
      </x:c>
      <x:c r="N38" s="12" t="n">
        <x:v>46275.66894675926</x:v>
      </x:c>
      <x:c r="O38" s="9" t="str">
        <x:v>final_baseline</x:v>
      </x:c>
      <x:c r="P38" s="9" t="str">
        <x:v>v1.0</x:v>
      </x:c>
    </x:row>
    <x:row r="39" ht="31" customHeight="1">
      <x:c r="A39" s="9" t="str">
        <x:v>CS03-A</x:v>
      </x:c>
      <x:c r="B39" s="9" t="str">
        <x:v>CS03</x:v>
      </x:c>
      <x:c r="C39" s="9" t="str">
        <x:v>Customer support</x:v>
      </x:c>
      <x:c r="D39" s="11" t="n">
        <x:v>2</x:v>
      </x:c>
      <x:c r="E39" s="11" t="n">
        <x:v>2</x:v>
      </x:c>
      <x:c r="F39" s="11" t="n">
        <x:v>2</x:v>
      </x:c>
      <x:c r="G39" s="11" t="n">
        <x:v>2</x:v>
      </x:c>
      <x:c r="H39" s="11" t="n">
        <x:v>2</x:v>
      </x:c>
      <x:c r="I39" s="13" t="n">
        <x:f>IF(COUNT(D39:H39)=5,SUM(D39:H39),"")</x:f>
        <x:v>10</x:v>
      </x:c>
      <x:c r="J39" s="9" t="str">
        <x:v>no</x:v>
      </x:c>
      <x:c r="K39" s="9" t="str">
        <x:v>no</x:v>
      </x:c>
      <x:c r="L39" s="9" t="str">
        <x:v>complete</x:v>
      </x:c>
      <x:c r="M39" s="9" t="str">
        <x:v>Codex (AI)</x:v>
      </x:c>
      <x:c r="N39" s="12" t="n">
        <x:v>46275.67030092593</x:v>
      </x:c>
      <x:c r="O39" s="9" t="str">
        <x:v>final_baseline</x:v>
      </x:c>
      <x:c r="P39" s="9" t="str">
        <x:v>v1.0</x:v>
      </x:c>
    </x:row>
    <x:row r="40" ht="31" customHeight="1">
      <x:c r="A40" s="9" t="str">
        <x:v>CS03-B</x:v>
      </x:c>
      <x:c r="B40" s="9" t="str">
        <x:v>CS03</x:v>
      </x:c>
      <x:c r="C40" s="9" t="str">
        <x:v>Customer support</x:v>
      </x:c>
      <x:c r="D40" s="11" t="n">
        <x:v>2</x:v>
      </x:c>
      <x:c r="E40" s="11" t="n">
        <x:v>2</x:v>
      </x:c>
      <x:c r="F40" s="11" t="n">
        <x:v>2</x:v>
      </x:c>
      <x:c r="G40" s="11" t="n">
        <x:v>2</x:v>
      </x:c>
      <x:c r="H40" s="11" t="n">
        <x:v>2</x:v>
      </x:c>
      <x:c r="I40" s="13" t="n">
        <x:f>IF(COUNT(D40:H40)=5,SUM(D40:H40),"")</x:f>
        <x:v>10</x:v>
      </x:c>
      <x:c r="J40" s="9" t="str">
        <x:v>no</x:v>
      </x:c>
      <x:c r="K40" s="9" t="str">
        <x:v>no</x:v>
      </x:c>
      <x:c r="L40" s="9" t="str">
        <x:v>complete</x:v>
      </x:c>
      <x:c r="M40" s="9" t="str">
        <x:v>Codex (AI)</x:v>
      </x:c>
      <x:c r="N40" s="12" t="n">
        <x:v>46275.67030092593</x:v>
      </x:c>
      <x:c r="O40" s="9" t="str">
        <x:v>final_baseline</x:v>
      </x:c>
      <x:c r="P40" s="9" t="str">
        <x:v>v1.0</x:v>
      </x:c>
    </x:row>
    <x:row r="41" ht="31" customHeight="1">
      <x:c r="A41" s="9" t="str">
        <x:v>CS04-A</x:v>
      </x:c>
      <x:c r="B41" s="9" t="str">
        <x:v>CS04</x:v>
      </x:c>
      <x:c r="C41" s="9" t="str">
        <x:v>Customer support</x:v>
      </x:c>
      <x:c r="D41" s="11" t="n">
        <x:v>2</x:v>
      </x:c>
      <x:c r="E41" s="11" t="n">
        <x:v>2</x:v>
      </x:c>
      <x:c r="F41" s="11" t="n">
        <x:v>2</x:v>
      </x:c>
      <x:c r="G41" s="11" t="n">
        <x:v>2</x:v>
      </x:c>
      <x:c r="H41" s="11" t="n">
        <x:v>2</x:v>
      </x:c>
      <x:c r="I41" s="13" t="n">
        <x:f>IF(COUNT(D41:H41)=5,SUM(D41:H41),"")</x:f>
        <x:v>10</x:v>
      </x:c>
      <x:c r="J41" s="9" t="str">
        <x:v>no</x:v>
      </x:c>
      <x:c r="K41" s="9" t="str">
        <x:v>no</x:v>
      </x:c>
      <x:c r="L41" s="9" t="str">
        <x:v>complete</x:v>
      </x:c>
      <x:c r="M41" s="9" t="str">
        <x:v>Codex (AI)</x:v>
      </x:c>
      <x:c r="N41" s="12" t="n">
        <x:v>46275.67030092593</x:v>
      </x:c>
      <x:c r="O41" s="9" t="str">
        <x:v>final_baseline</x:v>
      </x:c>
      <x:c r="P41" s="9" t="str">
        <x:v>v1.0</x:v>
      </x:c>
    </x:row>
    <x:row r="42" ht="31" customHeight="1">
      <x:c r="A42" s="9" t="str">
        <x:v>CS04-B</x:v>
      </x:c>
      <x:c r="B42" s="9" t="str">
        <x:v>CS04</x:v>
      </x:c>
      <x:c r="C42" s="9" t="str">
        <x:v>Customer support</x:v>
      </x:c>
      <x:c r="D42" s="11" t="n">
        <x:v>2</x:v>
      </x:c>
      <x:c r="E42" s="11" t="n">
        <x:v>2</x:v>
      </x:c>
      <x:c r="F42" s="11" t="n">
        <x:v>2</x:v>
      </x:c>
      <x:c r="G42" s="11" t="n">
        <x:v>2</x:v>
      </x:c>
      <x:c r="H42" s="11" t="n">
        <x:v>2</x:v>
      </x:c>
      <x:c r="I42" s="13" t="n">
        <x:f>IF(COUNT(D42:H42)=5,SUM(D42:H42),"")</x:f>
        <x:v>10</x:v>
      </x:c>
      <x:c r="J42" s="9" t="str">
        <x:v>no</x:v>
      </x:c>
      <x:c r="K42" s="9" t="str">
        <x:v>no</x:v>
      </x:c>
      <x:c r="L42" s="9" t="str">
        <x:v>complete</x:v>
      </x:c>
      <x:c r="M42" s="9" t="str">
        <x:v>Codex (AI)</x:v>
      </x:c>
      <x:c r="N42" s="12" t="n">
        <x:v>46275.67030092593</x:v>
      </x:c>
      <x:c r="O42" s="9" t="str">
        <x:v>final_baseline</x:v>
      </x:c>
      <x:c r="P42" s="9" t="str">
        <x:v>v1.0</x:v>
      </x:c>
    </x:row>
    <x:row r="43" ht="31" customHeight="1">
      <x:c r="A43" s="9" t="str">
        <x:v>CS05-A</x:v>
      </x:c>
      <x:c r="B43" s="9" t="str">
        <x:v>CS05</x:v>
      </x:c>
      <x:c r="C43" s="9" t="str">
        <x:v>Customer support</x:v>
      </x:c>
      <x:c r="D43" s="11" t="n">
        <x:v>2</x:v>
      </x:c>
      <x:c r="E43" s="11" t="n">
        <x:v>2</x:v>
      </x:c>
      <x:c r="F43" s="11" t="n">
        <x:v>2</x:v>
      </x:c>
      <x:c r="G43" s="11" t="n">
        <x:v>2</x:v>
      </x:c>
      <x:c r="H43" s="11" t="n">
        <x:v>2</x:v>
      </x:c>
      <x:c r="I43" s="13" t="n">
        <x:f>IF(COUNT(D43:H43)=5,SUM(D43:H43),"")</x:f>
        <x:v>10</x:v>
      </x:c>
      <x:c r="J43" s="9" t="str">
        <x:v>no</x:v>
      </x:c>
      <x:c r="K43" s="9" t="str">
        <x:v>no</x:v>
      </x:c>
      <x:c r="L43" s="9" t="str">
        <x:v>complete</x:v>
      </x:c>
      <x:c r="M43" s="9" t="str">
        <x:v>Codex (AI)</x:v>
      </x:c>
      <x:c r="N43" s="12" t="n">
        <x:v>46275.67030092593</x:v>
      </x:c>
      <x:c r="O43" s="9" t="str">
        <x:v>final_baseline</x:v>
      </x:c>
      <x:c r="P43" s="9" t="str">
        <x:v>v1.0</x:v>
      </x:c>
    </x:row>
    <x:row r="44" ht="31" customHeight="1">
      <x:c r="A44" s="9" t="str">
        <x:v>CS05-B</x:v>
      </x:c>
      <x:c r="B44" s="9" t="str">
        <x:v>CS05</x:v>
      </x:c>
      <x:c r="C44" s="9" t="str">
        <x:v>Customer support</x:v>
      </x:c>
      <x:c r="D44" s="11" t="n">
        <x:v>2</x:v>
      </x:c>
      <x:c r="E44" s="11" t="n">
        <x:v>2</x:v>
      </x:c>
      <x:c r="F44" s="11" t="n">
        <x:v>2</x:v>
      </x:c>
      <x:c r="G44" s="11" t="n">
        <x:v>2</x:v>
      </x:c>
      <x:c r="H44" s="11" t="n">
        <x:v>2</x:v>
      </x:c>
      <x:c r="I44" s="13" t="n">
        <x:f>IF(COUNT(D44:H44)=5,SUM(D44:H44),"")</x:f>
        <x:v>10</x:v>
      </x:c>
      <x:c r="J44" s="9" t="str">
        <x:v>no</x:v>
      </x:c>
      <x:c r="K44" s="9" t="str">
        <x:v>no</x:v>
      </x:c>
      <x:c r="L44" s="9" t="str">
        <x:v>complete</x:v>
      </x:c>
      <x:c r="M44" s="9" t="str">
        <x:v>Codex (AI)</x:v>
      </x:c>
      <x:c r="N44" s="12" t="n">
        <x:v>46275.67120370371</x:v>
      </x:c>
      <x:c r="O44" s="9" t="str">
        <x:v>final_baseline</x:v>
      </x:c>
      <x:c r="P44" s="9" t="str">
        <x:v>v1.0</x:v>
      </x:c>
    </x:row>
    <x:row r="45" ht="31" customHeight="1">
      <x:c r="A45" s="9" t="str">
        <x:v>CS06-A</x:v>
      </x:c>
      <x:c r="B45" s="9" t="str">
        <x:v>CS06</x:v>
      </x:c>
      <x:c r="C45" s="9" t="str">
        <x:v>Customer support</x:v>
      </x:c>
      <x:c r="D45" s="11" t="n">
        <x:v>2</x:v>
      </x:c>
      <x:c r="E45" s="11" t="n">
        <x:v>2</x:v>
      </x:c>
      <x:c r="F45" s="11" t="n">
        <x:v>2</x:v>
      </x:c>
      <x:c r="G45" s="11" t="n">
        <x:v>2</x:v>
      </x:c>
      <x:c r="H45" s="11" t="n">
        <x:v>2</x:v>
      </x:c>
      <x:c r="I45" s="13" t="n">
        <x:f>IF(COUNT(D45:H45)=5,SUM(D45:H45),"")</x:f>
        <x:v>10</x:v>
      </x:c>
      <x:c r="J45" s="9" t="str">
        <x:v>no</x:v>
      </x:c>
      <x:c r="K45" s="9" t="str">
        <x:v>no</x:v>
      </x:c>
      <x:c r="L45" s="9" t="str">
        <x:v>complete</x:v>
      </x:c>
      <x:c r="M45" s="9" t="str">
        <x:v>Codex (AI)</x:v>
      </x:c>
      <x:c r="N45" s="12" t="n">
        <x:v>46275.67120370371</x:v>
      </x:c>
      <x:c r="O45" s="9" t="str">
        <x:v>final_baseline</x:v>
      </x:c>
      <x:c r="P45" s="9" t="str">
        <x:v>v1.0</x:v>
      </x:c>
    </x:row>
    <x:row r="46" ht="31" customHeight="1">
      <x:c r="A46" s="9" t="str">
        <x:v>CS06-B</x:v>
      </x:c>
      <x:c r="B46" s="9" t="str">
        <x:v>CS06</x:v>
      </x:c>
      <x:c r="C46" s="9" t="str">
        <x:v>Customer support</x:v>
      </x:c>
      <x:c r="D46" s="11" t="n">
        <x:v>2</x:v>
      </x:c>
      <x:c r="E46" s="11" t="n">
        <x:v>2</x:v>
      </x:c>
      <x:c r="F46" s="11" t="n">
        <x:v>2</x:v>
      </x:c>
      <x:c r="G46" s="11" t="n">
        <x:v>2</x:v>
      </x:c>
      <x:c r="H46" s="11" t="n">
        <x:v>2</x:v>
      </x:c>
      <x:c r="I46" s="13" t="n">
        <x:f>IF(COUNT(D46:H46)=5,SUM(D46:H46),"")</x:f>
        <x:v>10</x:v>
      </x:c>
      <x:c r="J46" s="9" t="str">
        <x:v>no</x:v>
      </x:c>
      <x:c r="K46" s="9" t="str">
        <x:v>no</x:v>
      </x:c>
      <x:c r="L46" s="9" t="str">
        <x:v>complete</x:v>
      </x:c>
      <x:c r="M46" s="9" t="str">
        <x:v>Codex (AI)</x:v>
      </x:c>
      <x:c r="N46" s="12" t="n">
        <x:v>46275.67120370371</x:v>
      </x:c>
      <x:c r="O46" s="9" t="str">
        <x:v>final_baseline</x:v>
      </x:c>
      <x:c r="P46" s="9" t="str">
        <x:v>v1.0</x:v>
      </x:c>
    </x:row>
    <x:row r="47" ht="31" customHeight="1">
      <x:c r="A47" s="9" t="str">
        <x:v>CS07-A</x:v>
      </x:c>
      <x:c r="B47" s="9" t="str">
        <x:v>CS07</x:v>
      </x:c>
      <x:c r="C47" s="9" t="str">
        <x:v>Customer support</x:v>
      </x:c>
      <x:c r="D47" s="11" t="n">
        <x:v>2</x:v>
      </x:c>
      <x:c r="E47" s="11" t="n">
        <x:v>2</x:v>
      </x:c>
      <x:c r="F47" s="11" t="n">
        <x:v>2</x:v>
      </x:c>
      <x:c r="G47" s="11" t="n">
        <x:v>2</x:v>
      </x:c>
      <x:c r="H47" s="11" t="n">
        <x:v>2</x:v>
      </x:c>
      <x:c r="I47" s="13" t="n">
        <x:f>IF(COUNT(D47:H47)=5,SUM(D47:H47),"")</x:f>
        <x:v>10</x:v>
      </x:c>
      <x:c r="J47" s="9" t="str">
        <x:v>no</x:v>
      </x:c>
      <x:c r="K47" s="9" t="str">
        <x:v>no</x:v>
      </x:c>
      <x:c r="L47" s="9" t="str">
        <x:v>complete</x:v>
      </x:c>
      <x:c r="M47" s="9" t="str">
        <x:v>Codex (AI)</x:v>
      </x:c>
      <x:c r="N47" s="12" t="n">
        <x:v>46275.67568287037</x:v>
      </x:c>
      <x:c r="O47" s="9" t="str">
        <x:v>final_baseline</x:v>
      </x:c>
      <x:c r="P47" s="9" t="str">
        <x:v>v1.0</x:v>
      </x:c>
    </x:row>
    <x:row r="48" ht="31" customHeight="1">
      <x:c r="A48" s="9" t="str">
        <x:v>CS07-B</x:v>
      </x:c>
      <x:c r="B48" s="9" t="str">
        <x:v>CS07</x:v>
      </x:c>
      <x:c r="C48" s="9" t="str">
        <x:v>Customer support</x:v>
      </x:c>
      <x:c r="D48" s="11" t="n">
        <x:v>2</x:v>
      </x:c>
      <x:c r="E48" s="11" t="n">
        <x:v>2</x:v>
      </x:c>
      <x:c r="F48" s="11" t="n">
        <x:v>2</x:v>
      </x:c>
      <x:c r="G48" s="11" t="n">
        <x:v>2</x:v>
      </x:c>
      <x:c r="H48" s="11" t="n">
        <x:v>2</x:v>
      </x:c>
      <x:c r="I48" s="13" t="n">
        <x:f>IF(COUNT(D48:H48)=5,SUM(D48:H48),"")</x:f>
        <x:v>10</x:v>
      </x:c>
      <x:c r="J48" s="9" t="str">
        <x:v>no</x:v>
      </x:c>
      <x:c r="K48" s="9" t="str">
        <x:v>no</x:v>
      </x:c>
      <x:c r="L48" s="9" t="str">
        <x:v>complete</x:v>
      </x:c>
      <x:c r="M48" s="9" t="str">
        <x:v>Codex (AI)</x:v>
      </x:c>
      <x:c r="N48" s="12" t="n">
        <x:v>46275.67568287037</x:v>
      </x:c>
      <x:c r="O48" s="9" t="str">
        <x:v>final_baseline</x:v>
      </x:c>
      <x:c r="P48" s="9" t="str">
        <x:v>v1.0</x:v>
      </x:c>
    </x:row>
    <x:row r="49" ht="31" customHeight="1">
      <x:c r="A49" s="9" t="str">
        <x:v>CS08-A</x:v>
      </x:c>
      <x:c r="B49" s="9" t="str">
        <x:v>CS08</x:v>
      </x:c>
      <x:c r="C49" s="9" t="str">
        <x:v>Customer support</x:v>
      </x:c>
      <x:c r="D49" s="11" t="n">
        <x:v>2</x:v>
      </x:c>
      <x:c r="E49" s="11" t="n">
        <x:v>2</x:v>
      </x:c>
      <x:c r="F49" s="11" t="n">
        <x:v>2</x:v>
      </x:c>
      <x:c r="G49" s="11" t="n">
        <x:v>2</x:v>
      </x:c>
      <x:c r="H49" s="11" t="n">
        <x:v>2</x:v>
      </x:c>
      <x:c r="I49" s="13" t="n">
        <x:f>IF(COUNT(D49:H49)=5,SUM(D49:H49),"")</x:f>
        <x:v>10</x:v>
      </x:c>
      <x:c r="J49" s="9" t="str">
        <x:v>no</x:v>
      </x:c>
      <x:c r="K49" s="9" t="str">
        <x:v>no</x:v>
      </x:c>
      <x:c r="L49" s="9" t="str">
        <x:v>complete</x:v>
      </x:c>
      <x:c r="M49" s="9" t="str">
        <x:v>Codex (AI)</x:v>
      </x:c>
      <x:c r="N49" s="12" t="n">
        <x:v>46275.67568287037</x:v>
      </x:c>
      <x:c r="O49" s="9" t="str">
        <x:v>final_baseline</x:v>
      </x:c>
      <x:c r="P49" s="9" t="str">
        <x:v>v1.0</x:v>
      </x:c>
    </x:row>
    <x:row r="50" ht="31" customHeight="1">
      <x:c r="A50" s="9" t="str">
        <x:v>CS08-B</x:v>
      </x:c>
      <x:c r="B50" s="9" t="str">
        <x:v>CS08</x:v>
      </x:c>
      <x:c r="C50" s="9" t="str">
        <x:v>Customer support</x:v>
      </x:c>
      <x:c r="D50" s="11" t="n">
        <x:v>2</x:v>
      </x:c>
      <x:c r="E50" s="11" t="n">
        <x:v>2</x:v>
      </x:c>
      <x:c r="F50" s="11" t="n">
        <x:v>2</x:v>
      </x:c>
      <x:c r="G50" s="11" t="n">
        <x:v>2</x:v>
      </x:c>
      <x:c r="H50" s="11" t="n">
        <x:v>2</x:v>
      </x:c>
      <x:c r="I50" s="13" t="n">
        <x:f>IF(COUNT(D50:H50)=5,SUM(D50:H50),"")</x:f>
        <x:v>10</x:v>
      </x:c>
      <x:c r="J50" s="9" t="str">
        <x:v>no</x:v>
      </x:c>
      <x:c r="K50" s="9" t="str">
        <x:v>no</x:v>
      </x:c>
      <x:c r="L50" s="9" t="str">
        <x:v>complete</x:v>
      </x:c>
      <x:c r="M50" s="9" t="str">
        <x:v>Codex (AI)</x:v>
      </x:c>
      <x:c r="N50" s="12" t="n">
        <x:v>46275.67568287037</x:v>
      </x:c>
      <x:c r="O50" s="9" t="str">
        <x:v>final_baseline</x:v>
      </x:c>
      <x:c r="P50" s="9" t="str">
        <x:v>v1.0</x:v>
      </x:c>
    </x:row>
    <x:row r="51" ht="31" customHeight="1">
      <x:c r="A51" s="9" t="str">
        <x:v>CS09-A</x:v>
      </x:c>
      <x:c r="B51" s="9" t="str">
        <x:v>CS09</x:v>
      </x:c>
      <x:c r="C51" s="9" t="str">
        <x:v>Customer support</x:v>
      </x:c>
      <x:c r="D51" s="11" t="n">
        <x:v>2</x:v>
      </x:c>
      <x:c r="E51" s="11" t="n">
        <x:v>2</x:v>
      </x:c>
      <x:c r="F51" s="11" t="n">
        <x:v>2</x:v>
      </x:c>
      <x:c r="G51" s="11" t="n">
        <x:v>2</x:v>
      </x:c>
      <x:c r="H51" s="11" t="n">
        <x:v>2</x:v>
      </x:c>
      <x:c r="I51" s="13" t="n">
        <x:f>IF(COUNT(D51:H51)=5,SUM(D51:H51),"")</x:f>
        <x:v>10</x:v>
      </x:c>
      <x:c r="J51" s="9" t="str">
        <x:v>no</x:v>
      </x:c>
      <x:c r="K51" s="9" t="str">
        <x:v>no</x:v>
      </x:c>
      <x:c r="L51" s="9" t="str">
        <x:v>complete</x:v>
      </x:c>
      <x:c r="M51" s="9" t="str">
        <x:v>Codex (AI)</x:v>
      </x:c>
      <x:c r="N51" s="12" t="n">
        <x:v>46275.67568287037</x:v>
      </x:c>
      <x:c r="O51" s="9" t="str">
        <x:v>final_baseline</x:v>
      </x:c>
      <x:c r="P51" s="9" t="str">
        <x:v>v1.0</x:v>
      </x:c>
    </x:row>
    <x:row r="52" ht="31" customHeight="1">
      <x:c r="A52" s="9" t="str">
        <x:v>CS09-B</x:v>
      </x:c>
      <x:c r="B52" s="9" t="str">
        <x:v>CS09</x:v>
      </x:c>
      <x:c r="C52" s="9" t="str">
        <x:v>Customer support</x:v>
      </x:c>
      <x:c r="D52" s="11" t="n">
        <x:v>2</x:v>
      </x:c>
      <x:c r="E52" s="11" t="n">
        <x:v>2</x:v>
      </x:c>
      <x:c r="F52" s="11" t="n">
        <x:v>2</x:v>
      </x:c>
      <x:c r="G52" s="11" t="n">
        <x:v>2</x:v>
      </x:c>
      <x:c r="H52" s="11" t="n">
        <x:v>2</x:v>
      </x:c>
      <x:c r="I52" s="13" t="n">
        <x:f>IF(COUNT(D52:H52)=5,SUM(D52:H52),"")</x:f>
        <x:v>10</x:v>
      </x:c>
      <x:c r="J52" s="9" t="str">
        <x:v>no</x:v>
      </x:c>
      <x:c r="K52" s="9" t="str">
        <x:v>no</x:v>
      </x:c>
      <x:c r="L52" s="9" t="str">
        <x:v>complete</x:v>
      </x:c>
      <x:c r="M52" s="9" t="str">
        <x:v>Codex (AI)</x:v>
      </x:c>
      <x:c r="N52" s="12" t="n">
        <x:v>46275.67568287037</x:v>
      </x:c>
      <x:c r="O52" s="9" t="str">
        <x:v>final_baseline</x:v>
      </x:c>
      <x:c r="P52" s="9" t="str">
        <x:v>v1.0</x:v>
      </x:c>
    </x:row>
    <x:row r="53" ht="31" customHeight="1">
      <x:c r="A53" s="9" t="str">
        <x:v>CS10-A</x:v>
      </x:c>
      <x:c r="B53" s="9" t="str">
        <x:v>CS10</x:v>
      </x:c>
      <x:c r="C53" s="9" t="str">
        <x:v>Customer support</x:v>
      </x:c>
      <x:c r="D53" s="11" t="n">
        <x:v>2</x:v>
      </x:c>
      <x:c r="E53" s="11" t="n">
        <x:v>2</x:v>
      </x:c>
      <x:c r="F53" s="11" t="n">
        <x:v>2</x:v>
      </x:c>
      <x:c r="G53" s="11" t="n">
        <x:v>2</x:v>
      </x:c>
      <x:c r="H53" s="11" t="n">
        <x:v>2</x:v>
      </x:c>
      <x:c r="I53" s="13" t="n">
        <x:f>IF(COUNT(D53:H53)=5,SUM(D53:H53),"")</x:f>
        <x:v>10</x:v>
      </x:c>
      <x:c r="J53" s="9" t="str">
        <x:v>no</x:v>
      </x:c>
      <x:c r="K53" s="9" t="str">
        <x:v>no</x:v>
      </x:c>
      <x:c r="L53" s="9" t="str">
        <x:v>complete</x:v>
      </x:c>
      <x:c r="M53" s="9" t="str">
        <x:v>Codex (AI)</x:v>
      </x:c>
      <x:c r="N53" s="12" t="n">
        <x:v>46275.67568287037</x:v>
      </x:c>
      <x:c r="O53" s="9" t="str">
        <x:v>final_baseline</x:v>
      </x:c>
      <x:c r="P53" s="9" t="str">
        <x:v>v1.0</x:v>
      </x:c>
    </x:row>
    <x:row r="54" ht="31" customHeight="1">
      <x:c r="A54" s="9" t="str">
        <x:v>CS10-B</x:v>
      </x:c>
      <x:c r="B54" s="9" t="str">
        <x:v>CS10</x:v>
      </x:c>
      <x:c r="C54" s="9" t="str">
        <x:v>Customer support</x:v>
      </x:c>
      <x:c r="D54" s="11" t="n">
        <x:v>2</x:v>
      </x:c>
      <x:c r="E54" s="11" t="n">
        <x:v>2</x:v>
      </x:c>
      <x:c r="F54" s="11" t="n">
        <x:v>2</x:v>
      </x:c>
      <x:c r="G54" s="11" t="n">
        <x:v>2</x:v>
      </x:c>
      <x:c r="H54" s="11" t="n">
        <x:v>2</x:v>
      </x:c>
      <x:c r="I54" s="13" t="n">
        <x:f>IF(COUNT(D54:H54)=5,SUM(D54:H54),"")</x:f>
        <x:v>10</x:v>
      </x:c>
      <x:c r="J54" s="9" t="str">
        <x:v>no</x:v>
      </x:c>
      <x:c r="K54" s="9" t="str">
        <x:v>no</x:v>
      </x:c>
      <x:c r="L54" s="9" t="str">
        <x:v>complete</x:v>
      </x:c>
      <x:c r="M54" s="9" t="str">
        <x:v>Codex (AI)</x:v>
      </x:c>
      <x:c r="N54" s="12" t="n">
        <x:v>46275.67568287037</x:v>
      </x:c>
      <x:c r="O54" s="9" t="str">
        <x:v>final_baseline</x:v>
      </x:c>
      <x:c r="P54" s="9" t="str">
        <x:v>v1.0</x:v>
      </x:c>
    </x:row>
    <x:row r="55" ht="31" customHeight="1">
      <x:c r="A55" s="9" t="str">
        <x:v>RC03-A</x:v>
      </x:c>
      <x:c r="B55" s="9" t="str">
        <x:v>RC03</x:v>
      </x:c>
      <x:c r="C55" s="9" t="str">
        <x:v>Reading comprehension</x:v>
      </x:c>
      <x:c r="D55" s="11" t="n">
        <x:v>2</x:v>
      </x:c>
      <x:c r="E55" s="11" t="n">
        <x:v>2</x:v>
      </x:c>
      <x:c r="F55" s="11" t="n">
        <x:v>2</x:v>
      </x:c>
      <x:c r="G55" s="11" t="n">
        <x:v>2</x:v>
      </x:c>
      <x:c r="H55" s="11" t="n">
        <x:v>2</x:v>
      </x:c>
      <x:c r="I55" s="13" t="n">
        <x:f>IF(COUNT(D55:H55)=5,SUM(D55:H55),"")</x:f>
        <x:v>10</x:v>
      </x:c>
      <x:c r="J55" s="9" t="str">
        <x:v>no</x:v>
      </x:c>
      <x:c r="K55" s="9" t="str">
        <x:v>no</x:v>
      </x:c>
      <x:c r="L55" s="9" t="str">
        <x:v>complete</x:v>
      </x:c>
      <x:c r="M55" s="9" t="str">
        <x:v>Codex (AI)</x:v>
      </x:c>
      <x:c r="N55" s="12" t="n">
        <x:v>46275.67568287037</x:v>
      </x:c>
      <x:c r="O55" s="9" t="str">
        <x:v>final_baseline</x:v>
      </x:c>
      <x:c r="P55" s="9" t="str">
        <x:v>v1.0</x:v>
      </x:c>
    </x:row>
    <x:row r="56" ht="31" customHeight="1">
      <x:c r="A56" s="9" t="str">
        <x:v>RC03-B</x:v>
      </x:c>
      <x:c r="B56" s="9" t="str">
        <x:v>RC03</x:v>
      </x:c>
      <x:c r="C56" s="9" t="str">
        <x:v>Reading comprehension</x:v>
      </x:c>
      <x:c r="D56" s="11" t="n">
        <x:v>2</x:v>
      </x:c>
      <x:c r="E56" s="11" t="n">
        <x:v>2</x:v>
      </x:c>
      <x:c r="F56" s="11" t="n">
        <x:v>2</x:v>
      </x:c>
      <x:c r="G56" s="11" t="n">
        <x:v>2</x:v>
      </x:c>
      <x:c r="H56" s="11" t="n">
        <x:v>2</x:v>
      </x:c>
      <x:c r="I56" s="13" t="n">
        <x:f>IF(COUNT(D56:H56)=5,SUM(D56:H56),"")</x:f>
        <x:v>10</x:v>
      </x:c>
      <x:c r="J56" s="9" t="str">
        <x:v>no</x:v>
      </x:c>
      <x:c r="K56" s="9" t="str">
        <x:v>no</x:v>
      </x:c>
      <x:c r="L56" s="9" t="str">
        <x:v>complete</x:v>
      </x:c>
      <x:c r="M56" s="9" t="str">
        <x:v>Codex (AI)</x:v>
      </x:c>
      <x:c r="N56" s="12" t="n">
        <x:v>46275.67568287037</x:v>
      </x:c>
      <x:c r="O56" s="9" t="str">
        <x:v>final_baseline</x:v>
      </x:c>
      <x:c r="P56" s="9" t="str">
        <x:v>v1.0</x:v>
      </x:c>
    </x:row>
    <x:row r="57" ht="31" customHeight="1">
      <x:c r="A57" s="9" t="str">
        <x:v>RC04-A</x:v>
      </x:c>
      <x:c r="B57" s="9" t="str">
        <x:v>RC04</x:v>
      </x:c>
      <x:c r="C57" s="9" t="str">
        <x:v>Reading comprehension</x:v>
      </x:c>
      <x:c r="D57" s="11" t="n">
        <x:v>2</x:v>
      </x:c>
      <x:c r="E57" s="11" t="n">
        <x:v>2</x:v>
      </x:c>
      <x:c r="F57" s="11" t="n">
        <x:v>2</x:v>
      </x:c>
      <x:c r="G57" s="11" t="n">
        <x:v>2</x:v>
      </x:c>
      <x:c r="H57" s="11" t="n">
        <x:v>2</x:v>
      </x:c>
      <x:c r="I57" s="13" t="n">
        <x:f>IF(COUNT(D57:H57)=5,SUM(D57:H57),"")</x:f>
        <x:v>10</x:v>
      </x:c>
      <x:c r="J57" s="9" t="str">
        <x:v>no</x:v>
      </x:c>
      <x:c r="K57" s="9" t="str">
        <x:v>no</x:v>
      </x:c>
      <x:c r="L57" s="9" t="str">
        <x:v>complete</x:v>
      </x:c>
      <x:c r="M57" s="9" t="str">
        <x:v>Codex (AI)</x:v>
      </x:c>
      <x:c r="N57" s="12" t="n">
        <x:v>46275.67568287037</x:v>
      </x:c>
      <x:c r="O57" s="9" t="str">
        <x:v>final_baseline</x:v>
      </x:c>
      <x:c r="P57" s="9" t="str">
        <x:v>v1.0</x:v>
      </x:c>
    </x:row>
    <x:row r="58" ht="31" customHeight="1">
      <x:c r="A58" s="9" t="str">
        <x:v>RC04-B</x:v>
      </x:c>
      <x:c r="B58" s="9" t="str">
        <x:v>RC04</x:v>
      </x:c>
      <x:c r="C58" s="9" t="str">
        <x:v>Reading comprehension</x:v>
      </x:c>
      <x:c r="D58" s="11" t="n">
        <x:v>2</x:v>
      </x:c>
      <x:c r="E58" s="11" t="n">
        <x:v>2</x:v>
      </x:c>
      <x:c r="F58" s="11" t="n">
        <x:v>2</x:v>
      </x:c>
      <x:c r="G58" s="11" t="n">
        <x:v>2</x:v>
      </x:c>
      <x:c r="H58" s="11" t="n">
        <x:v>2</x:v>
      </x:c>
      <x:c r="I58" s="13" t="n">
        <x:f>IF(COUNT(D58:H58)=5,SUM(D58:H58),"")</x:f>
        <x:v>10</x:v>
      </x:c>
      <x:c r="J58" s="9" t="str">
        <x:v>no</x:v>
      </x:c>
      <x:c r="K58" s="9" t="str">
        <x:v>no</x:v>
      </x:c>
      <x:c r="L58" s="9" t="str">
        <x:v>complete</x:v>
      </x:c>
      <x:c r="M58" s="9" t="str">
        <x:v>Codex (AI)</x:v>
      </x:c>
      <x:c r="N58" s="12" t="n">
        <x:v>46275.67568287037</x:v>
      </x:c>
      <x:c r="O58" s="9" t="str">
        <x:v>final_baseline</x:v>
      </x:c>
      <x:c r="P58" s="9" t="str">
        <x:v>v1.0</x:v>
      </x:c>
    </x:row>
    <x:row r="59" ht="31" customHeight="1">
      <x:c r="A59" s="9" t="str">
        <x:v>RC05-A</x:v>
      </x:c>
      <x:c r="B59" s="9" t="str">
        <x:v>RC05</x:v>
      </x:c>
      <x:c r="C59" s="9" t="str">
        <x:v>Reading comprehension</x:v>
      </x:c>
      <x:c r="D59" s="11" t="n">
        <x:v>2</x:v>
      </x:c>
      <x:c r="E59" s="11" t="n">
        <x:v>2</x:v>
      </x:c>
      <x:c r="F59" s="11" t="n">
        <x:v>2</x:v>
      </x:c>
      <x:c r="G59" s="11" t="n">
        <x:v>2</x:v>
      </x:c>
      <x:c r="H59" s="11" t="n">
        <x:v>2</x:v>
      </x:c>
      <x:c r="I59" s="13" t="n">
        <x:f>IF(COUNT(D59:H59)=5,SUM(D59:H59),"")</x:f>
        <x:v>10</x:v>
      </x:c>
      <x:c r="J59" s="9" t="str">
        <x:v>no</x:v>
      </x:c>
      <x:c r="K59" s="9" t="str">
        <x:v>no</x:v>
      </x:c>
      <x:c r="L59" s="9" t="str">
        <x:v>complete</x:v>
      </x:c>
      <x:c r="M59" s="9" t="str">
        <x:v>Codex (AI)</x:v>
      </x:c>
      <x:c r="N59" s="12" t="n">
        <x:v>46275.67568287037</x:v>
      </x:c>
      <x:c r="O59" s="9" t="str">
        <x:v>final_baseline</x:v>
      </x:c>
      <x:c r="P59" s="9" t="str">
        <x:v>v1.0</x:v>
      </x:c>
    </x:row>
    <x:row r="60" ht="31" customHeight="1">
      <x:c r="A60" s="9" t="str">
        <x:v>RC05-B</x:v>
      </x:c>
      <x:c r="B60" s="9" t="str">
        <x:v>RC05</x:v>
      </x:c>
      <x:c r="C60" s="9" t="str">
        <x:v>Reading comprehension</x:v>
      </x:c>
      <x:c r="D60" s="11" t="n">
        <x:v>2</x:v>
      </x:c>
      <x:c r="E60" s="11" t="n">
        <x:v>2</x:v>
      </x:c>
      <x:c r="F60" s="11" t="n">
        <x:v>2</x:v>
      </x:c>
      <x:c r="G60" s="11" t="n">
        <x:v>2</x:v>
      </x:c>
      <x:c r="H60" s="11" t="n">
        <x:v>2</x:v>
      </x:c>
      <x:c r="I60" s="13" t="n">
        <x:f>IF(COUNT(D60:H60)=5,SUM(D60:H60),"")</x:f>
        <x:v>10</x:v>
      </x:c>
      <x:c r="J60" s="9" t="str">
        <x:v>no</x:v>
      </x:c>
      <x:c r="K60" s="9" t="str">
        <x:v>no</x:v>
      </x:c>
      <x:c r="L60" s="9" t="str">
        <x:v>complete</x:v>
      </x:c>
      <x:c r="M60" s="9" t="str">
        <x:v>Codex (AI)</x:v>
      </x:c>
      <x:c r="N60" s="12" t="n">
        <x:v>46275.67568287037</x:v>
      </x:c>
      <x:c r="O60" s="9" t="str">
        <x:v>final_baseline</x:v>
      </x:c>
      <x:c r="P60" s="9" t="str">
        <x:v>v1.0</x:v>
      </x:c>
    </x:row>
    <x:row r="61" ht="31" customHeight="1">
      <x:c r="A61" s="9" t="str">
        <x:v>RC06-A</x:v>
      </x:c>
      <x:c r="B61" s="9" t="str">
        <x:v>RC06</x:v>
      </x:c>
      <x:c r="C61" s="9" t="str">
        <x:v>Reading comprehension</x:v>
      </x:c>
      <x:c r="D61" s="11" t="n">
        <x:v>2</x:v>
      </x:c>
      <x:c r="E61" s="11" t="n">
        <x:v>2</x:v>
      </x:c>
      <x:c r="F61" s="11" t="n">
        <x:v>2</x:v>
      </x:c>
      <x:c r="G61" s="11" t="n">
        <x:v>2</x:v>
      </x:c>
      <x:c r="H61" s="11" t="n">
        <x:v>2</x:v>
      </x:c>
      <x:c r="I61" s="13" t="n">
        <x:f>IF(COUNT(D61:H61)=5,SUM(D61:H61),"")</x:f>
        <x:v>10</x:v>
      </x:c>
      <x:c r="J61" s="9" t="str">
        <x:v>no</x:v>
      </x:c>
      <x:c r="K61" s="9" t="str">
        <x:v>no</x:v>
      </x:c>
      <x:c r="L61" s="9" t="str">
        <x:v>complete</x:v>
      </x:c>
      <x:c r="M61" s="9" t="str">
        <x:v>Codex (AI)</x:v>
      </x:c>
      <x:c r="N61" s="12" t="n">
        <x:v>46275.67630787037</x:v>
      </x:c>
      <x:c r="O61" s="9" t="str">
        <x:v>final_baseline</x:v>
      </x:c>
      <x:c r="P61" s="9" t="str">
        <x:v>v1.0</x:v>
      </x:c>
    </x:row>
    <x:row r="62" ht="31" customHeight="1">
      <x:c r="A62" s="9" t="str">
        <x:v>RC06-B</x:v>
      </x:c>
      <x:c r="B62" s="9" t="str">
        <x:v>RC06</x:v>
      </x:c>
      <x:c r="C62" s="9" t="str">
        <x:v>Reading comprehension</x:v>
      </x:c>
      <x:c r="D62" s="11" t="n">
        <x:v>2</x:v>
      </x:c>
      <x:c r="E62" s="11" t="n">
        <x:v>2</x:v>
      </x:c>
      <x:c r="F62" s="11" t="n">
        <x:v>2</x:v>
      </x:c>
      <x:c r="G62" s="11" t="n">
        <x:v>2</x:v>
      </x:c>
      <x:c r="H62" s="11" t="n">
        <x:v>2</x:v>
      </x:c>
      <x:c r="I62" s="13" t="n">
        <x:f>IF(COUNT(D62:H62)=5,SUM(D62:H62),"")</x:f>
        <x:v>10</x:v>
      </x:c>
      <x:c r="J62" s="9" t="str">
        <x:v>no</x:v>
      </x:c>
      <x:c r="K62" s="9" t="str">
        <x:v>no</x:v>
      </x:c>
      <x:c r="L62" s="9" t="str">
        <x:v>complete</x:v>
      </x:c>
      <x:c r="M62" s="9" t="str">
        <x:v>Codex (AI)</x:v>
      </x:c>
      <x:c r="N62" s="12" t="n">
        <x:v>46275.67630787037</x:v>
      </x:c>
      <x:c r="O62" s="9" t="str">
        <x:v>final_baseline</x:v>
      </x:c>
      <x:c r="P62" s="9" t="str">
        <x:v>v1.0</x:v>
      </x:c>
    </x:row>
    <x:row r="63" ht="31" customHeight="1">
      <x:c r="A63" s="9" t="str">
        <x:v>RC07-A</x:v>
      </x:c>
      <x:c r="B63" s="9" t="str">
        <x:v>RC07</x:v>
      </x:c>
      <x:c r="C63" s="9" t="str">
        <x:v>Reading comprehension</x:v>
      </x:c>
      <x:c r="D63" s="11" t="n">
        <x:v>2</x:v>
      </x:c>
      <x:c r="E63" s="11" t="n">
        <x:v>2</x:v>
      </x:c>
      <x:c r="F63" s="11" t="n">
        <x:v>2</x:v>
      </x:c>
      <x:c r="G63" s="11" t="n">
        <x:v>2</x:v>
      </x:c>
      <x:c r="H63" s="11" t="n">
        <x:v>2</x:v>
      </x:c>
      <x:c r="I63" s="13" t="n">
        <x:f>IF(COUNT(D63:H63)=5,SUM(D63:H63),"")</x:f>
        <x:v>10</x:v>
      </x:c>
      <x:c r="J63" s="9" t="str">
        <x:v>no</x:v>
      </x:c>
      <x:c r="K63" s="9" t="str">
        <x:v>no</x:v>
      </x:c>
      <x:c r="L63" s="9" t="str">
        <x:v>complete</x:v>
      </x:c>
      <x:c r="M63" s="9" t="str">
        <x:v>Codex (AI)</x:v>
      </x:c>
      <x:c r="N63" s="12" t="n">
        <x:v>46275.67667824074</x:v>
      </x:c>
      <x:c r="O63" s="9" t="str">
        <x:v>final_baseline</x:v>
      </x:c>
      <x:c r="P63" s="9" t="str">
        <x:v>v1.0</x:v>
      </x:c>
    </x:row>
    <x:row r="64" ht="31" customHeight="1">
      <x:c r="A64" s="9" t="str">
        <x:v>RC07-B</x:v>
      </x:c>
      <x:c r="B64" s="9" t="str">
        <x:v>RC07</x:v>
      </x:c>
      <x:c r="C64" s="9" t="str">
        <x:v>Reading comprehension</x:v>
      </x:c>
      <x:c r="D64" s="11" t="n">
        <x:v>2</x:v>
      </x:c>
      <x:c r="E64" s="11" t="n">
        <x:v>2</x:v>
      </x:c>
      <x:c r="F64" s="11" t="n">
        <x:v>2</x:v>
      </x:c>
      <x:c r="G64" s="11" t="n">
        <x:v>2</x:v>
      </x:c>
      <x:c r="H64" s="11" t="n">
        <x:v>2</x:v>
      </x:c>
      <x:c r="I64" s="13" t="n">
        <x:f>IF(COUNT(D64:H64)=5,SUM(D64:H64),"")</x:f>
        <x:v>10</x:v>
      </x:c>
      <x:c r="J64" s="9" t="str">
        <x:v>no</x:v>
      </x:c>
      <x:c r="K64" s="9" t="str">
        <x:v>no</x:v>
      </x:c>
      <x:c r="L64" s="9" t="str">
        <x:v>complete</x:v>
      </x:c>
      <x:c r="M64" s="9" t="str">
        <x:v>Codex (AI)</x:v>
      </x:c>
      <x:c r="N64" s="12" t="n">
        <x:v>46275.67667824074</x:v>
      </x:c>
      <x:c r="O64" s="9" t="str">
        <x:v>final_baseline</x:v>
      </x:c>
      <x:c r="P64" s="9" t="str">
        <x:v>v1.0</x:v>
      </x:c>
    </x:row>
    <x:row r="65" ht="31" customHeight="1">
      <x:c r="A65" s="9" t="str">
        <x:v>RC08-A</x:v>
      </x:c>
      <x:c r="B65" s="9" t="str">
        <x:v>RC08</x:v>
      </x:c>
      <x:c r="C65" s="9" t="str">
        <x:v>Reading comprehension</x:v>
      </x:c>
      <x:c r="D65" s="11" t="n">
        <x:v>2</x:v>
      </x:c>
      <x:c r="E65" s="11" t="n">
        <x:v>2</x:v>
      </x:c>
      <x:c r="F65" s="11" t="n">
        <x:v>2</x:v>
      </x:c>
      <x:c r="G65" s="11" t="n">
        <x:v>2</x:v>
      </x:c>
      <x:c r="H65" s="11" t="n">
        <x:v>2</x:v>
      </x:c>
      <x:c r="I65" s="13" t="n">
        <x:f>IF(COUNT(D65:H65)=5,SUM(D65:H65),"")</x:f>
        <x:v>10</x:v>
      </x:c>
      <x:c r="J65" s="9" t="str">
        <x:v>no</x:v>
      </x:c>
      <x:c r="K65" s="9" t="str">
        <x:v>no</x:v>
      </x:c>
      <x:c r="L65" s="9" t="str">
        <x:v>complete</x:v>
      </x:c>
      <x:c r="M65" s="9" t="str">
        <x:v>Codex (AI)</x:v>
      </x:c>
      <x:c r="N65" s="12" t="n">
        <x:v>46275.67791666667</x:v>
      </x:c>
      <x:c r="O65" s="9" t="str">
        <x:v>final_baseline</x:v>
      </x:c>
      <x:c r="P65" s="9" t="str">
        <x:v>v1.0</x:v>
      </x:c>
    </x:row>
    <x:row r="66" ht="31" customHeight="1">
      <x:c r="A66" s="9" t="str">
        <x:v>RC08-B</x:v>
      </x:c>
      <x:c r="B66" s="9" t="str">
        <x:v>RC08</x:v>
      </x:c>
      <x:c r="C66" s="9" t="str">
        <x:v>Reading comprehension</x:v>
      </x:c>
      <x:c r="D66" s="11" t="n">
        <x:v>2</x:v>
      </x:c>
      <x:c r="E66" s="11" t="n">
        <x:v>2</x:v>
      </x:c>
      <x:c r="F66" s="11" t="n">
        <x:v>2</x:v>
      </x:c>
      <x:c r="G66" s="11" t="n">
        <x:v>2</x:v>
      </x:c>
      <x:c r="H66" s="11" t="n">
        <x:v>2</x:v>
      </x:c>
      <x:c r="I66" s="13" t="n">
        <x:f>IF(COUNT(D66:H66)=5,SUM(D66:H66),"")</x:f>
        <x:v>10</x:v>
      </x:c>
      <x:c r="J66" s="9" t="str">
        <x:v>no</x:v>
      </x:c>
      <x:c r="K66" s="9" t="str">
        <x:v>no</x:v>
      </x:c>
      <x:c r="L66" s="9" t="str">
        <x:v>complete</x:v>
      </x:c>
      <x:c r="M66" s="9" t="str">
        <x:v>Codex (AI)</x:v>
      </x:c>
      <x:c r="N66" s="12" t="n">
        <x:v>46275.67791666667</x:v>
      </x:c>
      <x:c r="O66" s="9" t="str">
        <x:v>final_baseline</x:v>
      </x:c>
      <x:c r="P66" s="9" t="str">
        <x:v>v1.0</x:v>
      </x:c>
    </x:row>
    <x:row r="67" ht="31" customHeight="1">
      <x:c r="A67" s="9" t="str">
        <x:v>RC09-A</x:v>
      </x:c>
      <x:c r="B67" s="9" t="str">
        <x:v>RC09</x:v>
      </x:c>
      <x:c r="C67" s="9" t="str">
        <x:v>Reading comprehension</x:v>
      </x:c>
      <x:c r="D67" s="11" t="n">
        <x:v>2</x:v>
      </x:c>
      <x:c r="E67" s="11" t="n">
        <x:v>2</x:v>
      </x:c>
      <x:c r="F67" s="11" t="n">
        <x:v>2</x:v>
      </x:c>
      <x:c r="G67" s="11" t="n">
        <x:v>2</x:v>
      </x:c>
      <x:c r="H67" s="11" t="n">
        <x:v>2</x:v>
      </x:c>
      <x:c r="I67" s="13" t="n">
        <x:f>IF(COUNT(D67:H67)=5,SUM(D67:H67),"")</x:f>
        <x:v>10</x:v>
      </x:c>
      <x:c r="J67" s="9" t="str">
        <x:v>no</x:v>
      </x:c>
      <x:c r="K67" s="9" t="str">
        <x:v>no</x:v>
      </x:c>
      <x:c r="L67" s="9" t="str">
        <x:v>complete</x:v>
      </x:c>
      <x:c r="M67" s="9" t="str">
        <x:v>Codex (AI)</x:v>
      </x:c>
      <x:c r="N67" s="12" t="n">
        <x:v>46275.67791666667</x:v>
      </x:c>
      <x:c r="O67" s="9" t="str">
        <x:v>final_baseline</x:v>
      </x:c>
      <x:c r="P67" s="9" t="str">
        <x:v>v1.0</x:v>
      </x:c>
    </x:row>
    <x:row r="68" ht="31" customHeight="1">
      <x:c r="A68" s="9" t="str">
        <x:v>RC09-B</x:v>
      </x:c>
      <x:c r="B68" s="9" t="str">
        <x:v>RC09</x:v>
      </x:c>
      <x:c r="C68" s="9" t="str">
        <x:v>Reading comprehension</x:v>
      </x:c>
      <x:c r="D68" s="11" t="n">
        <x:v>2</x:v>
      </x:c>
      <x:c r="E68" s="11" t="n">
        <x:v>2</x:v>
      </x:c>
      <x:c r="F68" s="11" t="n">
        <x:v>2</x:v>
      </x:c>
      <x:c r="G68" s="11" t="n">
        <x:v>2</x:v>
      </x:c>
      <x:c r="H68" s="11" t="n">
        <x:v>2</x:v>
      </x:c>
      <x:c r="I68" s="13" t="n">
        <x:f>IF(COUNT(D68:H68)=5,SUM(D68:H68),"")</x:f>
        <x:v>10</x:v>
      </x:c>
      <x:c r="J68" s="9" t="str">
        <x:v>no</x:v>
      </x:c>
      <x:c r="K68" s="9" t="str">
        <x:v>no</x:v>
      </x:c>
      <x:c r="L68" s="9" t="str">
        <x:v>complete</x:v>
      </x:c>
      <x:c r="M68" s="9" t="str">
        <x:v>Codex (AI)</x:v>
      </x:c>
      <x:c r="N68" s="12" t="n">
        <x:v>46275.67791666667</x:v>
      </x:c>
      <x:c r="O68" s="9" t="str">
        <x:v>final_baseline</x:v>
      </x:c>
      <x:c r="P68" s="9" t="str">
        <x:v>v1.0</x:v>
      </x:c>
    </x:row>
    <x:row r="69" ht="31" customHeight="1">
      <x:c r="A69" s="9" t="str">
        <x:v>RC10-A</x:v>
      </x:c>
      <x:c r="B69" s="9" t="str">
        <x:v>RC10</x:v>
      </x:c>
      <x:c r="C69" s="9" t="str">
        <x:v>Reading comprehension</x:v>
      </x:c>
      <x:c r="D69" s="11" t="n">
        <x:v>2</x:v>
      </x:c>
      <x:c r="E69" s="11" t="n">
        <x:v>2</x:v>
      </x:c>
      <x:c r="F69" s="11" t="n">
        <x:v>2</x:v>
      </x:c>
      <x:c r="G69" s="11" t="n">
        <x:v>2</x:v>
      </x:c>
      <x:c r="H69" s="11" t="n">
        <x:v>2</x:v>
      </x:c>
      <x:c r="I69" s="13" t="n">
        <x:f>IF(COUNT(D69:H69)=5,SUM(D69:H69),"")</x:f>
        <x:v>10</x:v>
      </x:c>
      <x:c r="J69" s="9" t="str">
        <x:v>no</x:v>
      </x:c>
      <x:c r="K69" s="9" t="str">
        <x:v>no</x:v>
      </x:c>
      <x:c r="L69" s="9" t="str">
        <x:v>complete</x:v>
      </x:c>
      <x:c r="M69" s="9" t="str">
        <x:v>Codex (AI)</x:v>
      </x:c>
      <x:c r="N69" s="12" t="n">
        <x:v>46275.67885416667</x:v>
      </x:c>
      <x:c r="O69" s="9" t="str">
        <x:v>final_baseline</x:v>
      </x:c>
      <x:c r="P69" s="9" t="str">
        <x:v>v1.0</x:v>
      </x:c>
    </x:row>
    <x:row r="70" ht="31" customHeight="1">
      <x:c r="A70" s="9" t="str">
        <x:v>RC10-B</x:v>
      </x:c>
      <x:c r="B70" s="9" t="str">
        <x:v>RC10</x:v>
      </x:c>
      <x:c r="C70" s="9" t="str">
        <x:v>Reading comprehension</x:v>
      </x:c>
      <x:c r="D70" s="11" t="n">
        <x:v>2</x:v>
      </x:c>
      <x:c r="E70" s="11" t="n">
        <x:v>2</x:v>
      </x:c>
      <x:c r="F70" s="11" t="n">
        <x:v>2</x:v>
      </x:c>
      <x:c r="G70" s="11" t="n">
        <x:v>2</x:v>
      </x:c>
      <x:c r="H70" s="11" t="n">
        <x:v>2</x:v>
      </x:c>
      <x:c r="I70" s="13" t="n">
        <x:f>IF(COUNT(D70:H70)=5,SUM(D70:H70),"")</x:f>
        <x:v>10</x:v>
      </x:c>
      <x:c r="J70" s="9" t="str">
        <x:v>no</x:v>
      </x:c>
      <x:c r="K70" s="9" t="str">
        <x:v>no</x:v>
      </x:c>
      <x:c r="L70" s="9" t="str">
        <x:v>complete</x:v>
      </x:c>
      <x:c r="M70" s="9" t="str">
        <x:v>Codex (AI)</x:v>
      </x:c>
      <x:c r="N70" s="12" t="n">
        <x:v>46275.67885416667</x:v>
      </x:c>
      <x:c r="O70" s="9" t="str">
        <x:v>final_baseline</x:v>
      </x:c>
      <x:c r="P70" s="9" t="str">
        <x:v>v1.0</x:v>
      </x:c>
    </x:row>
    <x:row r="71" ht="31" customHeight="1">
      <x:c r="A71" s="9" t="str">
        <x:v>PR03-A</x:v>
      </x:c>
      <x:c r="B71" s="9" t="str">
        <x:v>PR03</x:v>
      </x:c>
      <x:c r="C71" s="9" t="str">
        <x:v>Practical reasoning</x:v>
      </x:c>
      <x:c r="D71" s="11" t="n">
        <x:v>2</x:v>
      </x:c>
      <x:c r="E71" s="11" t="n">
        <x:v>2</x:v>
      </x:c>
      <x:c r="F71" s="11" t="n">
        <x:v>2</x:v>
      </x:c>
      <x:c r="G71" s="11" t="n">
        <x:v>2</x:v>
      </x:c>
      <x:c r="H71" s="11" t="n">
        <x:v>2</x:v>
      </x:c>
      <x:c r="I71" s="13" t="n">
        <x:f>IF(COUNT(D71:H71)=5,SUM(D71:H71),"")</x:f>
        <x:v>10</x:v>
      </x:c>
      <x:c r="J71" s="9" t="str">
        <x:v>no</x:v>
      </x:c>
      <x:c r="K71" s="9" t="str">
        <x:v>no</x:v>
      </x:c>
      <x:c r="L71" s="9" t="str">
        <x:v>complete</x:v>
      </x:c>
      <x:c r="M71" s="9" t="str">
        <x:v>Codex (AI)</x:v>
      </x:c>
      <x:c r="N71" s="12" t="n">
        <x:v>46275.67885416667</x:v>
      </x:c>
      <x:c r="O71" s="9" t="str">
        <x:v>final_baseline</x:v>
      </x:c>
      <x:c r="P71" s="9" t="str">
        <x:v>v1.0</x:v>
      </x:c>
    </x:row>
    <x:row r="72" ht="31" customHeight="1">
      <x:c r="A72" s="9" t="str">
        <x:v>PR03-B</x:v>
      </x:c>
      <x:c r="B72" s="9" t="str">
        <x:v>PR03</x:v>
      </x:c>
      <x:c r="C72" s="9" t="str">
        <x:v>Practical reasoning</x:v>
      </x:c>
      <x:c r="D72" s="11" t="n">
        <x:v>2</x:v>
      </x:c>
      <x:c r="E72" s="11" t="n">
        <x:v>2</x:v>
      </x:c>
      <x:c r="F72" s="11" t="n">
        <x:v>2</x:v>
      </x:c>
      <x:c r="G72" s="11" t="n">
        <x:v>2</x:v>
      </x:c>
      <x:c r="H72" s="11" t="n">
        <x:v>2</x:v>
      </x:c>
      <x:c r="I72" s="13" t="n">
        <x:f>IF(COUNT(D72:H72)=5,SUM(D72:H72),"")</x:f>
        <x:v>10</x:v>
      </x:c>
      <x:c r="J72" s="9" t="str">
        <x:v>no</x:v>
      </x:c>
      <x:c r="K72" s="9" t="str">
        <x:v>no</x:v>
      </x:c>
      <x:c r="L72" s="9" t="str">
        <x:v>complete</x:v>
      </x:c>
      <x:c r="M72" s="9" t="str">
        <x:v>Codex (AI)</x:v>
      </x:c>
      <x:c r="N72" s="12" t="n">
        <x:v>46275.6796875</x:v>
      </x:c>
      <x:c r="O72" s="9" t="str">
        <x:v>final_baseline</x:v>
      </x:c>
      <x:c r="P72" s="9" t="str">
        <x:v>v1.0</x:v>
      </x:c>
    </x:row>
    <x:row r="73" ht="31" customHeight="1">
      <x:c r="A73" s="9" t="str">
        <x:v>PR04-A</x:v>
      </x:c>
      <x:c r="B73" s="9" t="str">
        <x:v>PR04</x:v>
      </x:c>
      <x:c r="C73" s="9" t="str">
        <x:v>Practical reasoning</x:v>
      </x:c>
      <x:c r="D73" s="11" t="n">
        <x:v>2</x:v>
      </x:c>
      <x:c r="E73" s="11" t="n">
        <x:v>2</x:v>
      </x:c>
      <x:c r="F73" s="11" t="n">
        <x:v>2</x:v>
      </x:c>
      <x:c r="G73" s="11" t="n">
        <x:v>2</x:v>
      </x:c>
      <x:c r="H73" s="11" t="n">
        <x:v>2</x:v>
      </x:c>
      <x:c r="I73" s="13" t="n">
        <x:f>IF(COUNT(D73:H73)=5,SUM(D73:H73),"")</x:f>
        <x:v>10</x:v>
      </x:c>
      <x:c r="J73" s="9" t="str">
        <x:v>no</x:v>
      </x:c>
      <x:c r="K73" s="9" t="str">
        <x:v>no</x:v>
      </x:c>
      <x:c r="L73" s="9" t="str">
        <x:v>complete</x:v>
      </x:c>
      <x:c r="M73" s="9" t="str">
        <x:v>Codex (AI)</x:v>
      </x:c>
      <x:c r="N73" s="12" t="n">
        <x:v>46275.6796875</x:v>
      </x:c>
      <x:c r="O73" s="9" t="str">
        <x:v>final_baseline</x:v>
      </x:c>
      <x:c r="P73" s="9" t="str">
        <x:v>v1.0</x:v>
      </x:c>
    </x:row>
    <x:row r="74" ht="31" customHeight="1">
      <x:c r="A74" s="9" t="str">
        <x:v>PR04-B</x:v>
      </x:c>
      <x:c r="B74" s="9" t="str">
        <x:v>PR04</x:v>
      </x:c>
      <x:c r="C74" s="9" t="str">
        <x:v>Practical reasoning</x:v>
      </x:c>
      <x:c r="D74" s="11" t="n">
        <x:v>2</x:v>
      </x:c>
      <x:c r="E74" s="11" t="n">
        <x:v>2</x:v>
      </x:c>
      <x:c r="F74" s="11" t="n">
        <x:v>2</x:v>
      </x:c>
      <x:c r="G74" s="11" t="n">
        <x:v>2</x:v>
      </x:c>
      <x:c r="H74" s="11" t="n">
        <x:v>2</x:v>
      </x:c>
      <x:c r="I74" s="13" t="n">
        <x:f>IF(COUNT(D74:H74)=5,SUM(D74:H74),"")</x:f>
        <x:v>10</x:v>
      </x:c>
      <x:c r="J74" s="9" t="str">
        <x:v>no</x:v>
      </x:c>
      <x:c r="K74" s="9" t="str">
        <x:v>no</x:v>
      </x:c>
      <x:c r="L74" s="9" t="str">
        <x:v>complete</x:v>
      </x:c>
      <x:c r="M74" s="9" t="str">
        <x:v>Codex (AI)</x:v>
      </x:c>
      <x:c r="N74" s="12" t="n">
        <x:v>46275.687314814815</x:v>
      </x:c>
      <x:c r="O74" s="9" t="str">
        <x:v>final_baseline</x:v>
      </x:c>
      <x:c r="P74" s="9" t="str">
        <x:v>v1.0</x:v>
      </x:c>
    </x:row>
    <x:row r="75" ht="31" customHeight="1">
      <x:c r="A75" s="9" t="str">
        <x:v>PR05-A</x:v>
      </x:c>
      <x:c r="B75" s="9" t="str">
        <x:v>PR05</x:v>
      </x:c>
      <x:c r="C75" s="9" t="str">
        <x:v>Practical reasoning</x:v>
      </x:c>
      <x:c r="D75" s="11" t="n">
        <x:v>2</x:v>
      </x:c>
      <x:c r="E75" s="11" t="n">
        <x:v>2</x:v>
      </x:c>
      <x:c r="F75" s="11" t="n">
        <x:v>2</x:v>
      </x:c>
      <x:c r="G75" s="11" t="n">
        <x:v>2</x:v>
      </x:c>
      <x:c r="H75" s="11" t="n">
        <x:v>2</x:v>
      </x:c>
      <x:c r="I75" s="13" t="n">
        <x:f>IF(COUNT(D75:H75)=5,SUM(D75:H75),"")</x:f>
        <x:v>10</x:v>
      </x:c>
      <x:c r="J75" s="9" t="str">
        <x:v>no</x:v>
      </x:c>
      <x:c r="K75" s="9" t="str">
        <x:v>no</x:v>
      </x:c>
      <x:c r="L75" s="9" t="str">
        <x:v>complete</x:v>
      </x:c>
      <x:c r="M75" s="9" t="str">
        <x:v>Codex (AI)</x:v>
      </x:c>
      <x:c r="N75" s="12" t="n">
        <x:v>46275.687314814815</x:v>
      </x:c>
      <x:c r="O75" s="9" t="str">
        <x:v>final_baseline</x:v>
      </x:c>
      <x:c r="P75" s="9" t="str">
        <x:v>v1.0</x:v>
      </x:c>
    </x:row>
    <x:row r="76" ht="31" customHeight="1">
      <x:c r="A76" s="9" t="str">
        <x:v>PR05-B</x:v>
      </x:c>
      <x:c r="B76" s="9" t="str">
        <x:v>PR05</x:v>
      </x:c>
      <x:c r="C76" s="9" t="str">
        <x:v>Practical reasoning</x:v>
      </x:c>
      <x:c r="D76" s="11" t="n">
        <x:v>2</x:v>
      </x:c>
      <x:c r="E76" s="11" t="n">
        <x:v>2</x:v>
      </x:c>
      <x:c r="F76" s="11" t="n">
        <x:v>2</x:v>
      </x:c>
      <x:c r="G76" s="11" t="n">
        <x:v>2</x:v>
      </x:c>
      <x:c r="H76" s="11" t="n">
        <x:v>2</x:v>
      </x:c>
      <x:c r="I76" s="13" t="n">
        <x:f>IF(COUNT(D76:H76)=5,SUM(D76:H76),"")</x:f>
        <x:v>10</x:v>
      </x:c>
      <x:c r="J76" s="9" t="str">
        <x:v>no</x:v>
      </x:c>
      <x:c r="K76" s="9" t="str">
        <x:v>no</x:v>
      </x:c>
      <x:c r="L76" s="9" t="str">
        <x:v>complete</x:v>
      </x:c>
      <x:c r="M76" s="9" t="str">
        <x:v>Codex (AI)</x:v>
      </x:c>
      <x:c r="N76" s="12" t="n">
        <x:v>46275.687314814815</x:v>
      </x:c>
      <x:c r="O76" s="9" t="str">
        <x:v>final_baseline</x:v>
      </x:c>
      <x:c r="P76" s="9" t="str">
        <x:v>v1.0</x:v>
      </x:c>
    </x:row>
    <x:row r="77" ht="31" customHeight="1">
      <x:c r="A77" s="9" t="str">
        <x:v>PR06-A</x:v>
      </x:c>
      <x:c r="B77" s="9" t="str">
        <x:v>PR06</x:v>
      </x:c>
      <x:c r="C77" s="9" t="str">
        <x:v>Practical reasoning</x:v>
      </x:c>
      <x:c r="D77" s="11" t="n">
        <x:v>2</x:v>
      </x:c>
      <x:c r="E77" s="11" t="n">
        <x:v>2</x:v>
      </x:c>
      <x:c r="F77" s="11" t="n">
        <x:v>2</x:v>
      </x:c>
      <x:c r="G77" s="11" t="n">
        <x:v>2</x:v>
      </x:c>
      <x:c r="H77" s="11" t="n">
        <x:v>2</x:v>
      </x:c>
      <x:c r="I77" s="13" t="n">
        <x:f>IF(COUNT(D77:H77)=5,SUM(D77:H77),"")</x:f>
        <x:v>10</x:v>
      </x:c>
      <x:c r="J77" s="9" t="str">
        <x:v>no</x:v>
      </x:c>
      <x:c r="K77" s="9" t="str">
        <x:v>no</x:v>
      </x:c>
      <x:c r="L77" s="9" t="str">
        <x:v>complete</x:v>
      </x:c>
      <x:c r="M77" s="9" t="str">
        <x:v>Codex (AI)</x:v>
      </x:c>
      <x:c r="N77" s="12" t="n">
        <x:v>46275.69001157407</x:v>
      </x:c>
      <x:c r="O77" s="9" t="str">
        <x:v>final_baseline</x:v>
      </x:c>
      <x:c r="P77" s="9" t="str">
        <x:v>v1.0</x:v>
      </x:c>
    </x:row>
    <x:row r="78" ht="31" customHeight="1">
      <x:c r="A78" s="9" t="str">
        <x:v>PR06-B</x:v>
      </x:c>
      <x:c r="B78" s="9" t="str">
        <x:v>PR06</x:v>
      </x:c>
      <x:c r="C78" s="9" t="str">
        <x:v>Practical reasoning</x:v>
      </x:c>
      <x:c r="D78" s="11" t="n">
        <x:v>2</x:v>
      </x:c>
      <x:c r="E78" s="11" t="n">
        <x:v>2</x:v>
      </x:c>
      <x:c r="F78" s="11" t="n">
        <x:v>2</x:v>
      </x:c>
      <x:c r="G78" s="11" t="n">
        <x:v>2</x:v>
      </x:c>
      <x:c r="H78" s="11" t="n">
        <x:v>2</x:v>
      </x:c>
      <x:c r="I78" s="13" t="n">
        <x:f>IF(COUNT(D78:H78)=5,SUM(D78:H78),"")</x:f>
        <x:v>10</x:v>
      </x:c>
      <x:c r="J78" s="9" t="str">
        <x:v>no</x:v>
      </x:c>
      <x:c r="K78" s="9" t="str">
        <x:v>no</x:v>
      </x:c>
      <x:c r="L78" s="9" t="str">
        <x:v>complete</x:v>
      </x:c>
      <x:c r="M78" s="9" t="str">
        <x:v>Codex (AI)</x:v>
      </x:c>
      <x:c r="N78" s="12" t="n">
        <x:v>46275.6908912037</x:v>
      </x:c>
      <x:c r="O78" s="9" t="str">
        <x:v>final_baseline</x:v>
      </x:c>
      <x:c r="P78" s="9" t="str">
        <x:v>v1.0</x:v>
      </x:c>
    </x:row>
    <x:row r="79" ht="31" customHeight="1">
      <x:c r="A79" s="9" t="str">
        <x:v>PR07-A</x:v>
      </x:c>
      <x:c r="B79" s="9" t="str">
        <x:v>PR07</x:v>
      </x:c>
      <x:c r="C79" s="9" t="str">
        <x:v>Practical reasoning</x:v>
      </x:c>
      <x:c r="D79" s="11" t="n">
        <x:v>2</x:v>
      </x:c>
      <x:c r="E79" s="11" t="n">
        <x:v>2</x:v>
      </x:c>
      <x:c r="F79" s="11" t="n">
        <x:v>2</x:v>
      </x:c>
      <x:c r="G79" s="11" t="n">
        <x:v>2</x:v>
      </x:c>
      <x:c r="H79" s="11" t="n">
        <x:v>2</x:v>
      </x:c>
      <x:c r="I79" s="13" t="n">
        <x:f>IF(COUNT(D79:H79)=5,SUM(D79:H79),"")</x:f>
        <x:v>10</x:v>
      </x:c>
      <x:c r="J79" s="9" t="str">
        <x:v>no</x:v>
      </x:c>
      <x:c r="K79" s="9" t="str">
        <x:v>no</x:v>
      </x:c>
      <x:c r="L79" s="9" t="str">
        <x:v>complete</x:v>
      </x:c>
      <x:c r="M79" s="9" t="str">
        <x:v>Codex (AI)</x:v>
      </x:c>
      <x:c r="N79" s="12" t="n">
        <x:v>46275.6908912037</x:v>
      </x:c>
      <x:c r="O79" s="9" t="str">
        <x:v>final_baseline</x:v>
      </x:c>
      <x:c r="P79" s="9" t="str">
        <x:v>v1.0</x:v>
      </x:c>
    </x:row>
    <x:row r="80" ht="31" customHeight="1">
      <x:c r="A80" s="9" t="str">
        <x:v>PR07-B</x:v>
      </x:c>
      <x:c r="B80" s="9" t="str">
        <x:v>PR07</x:v>
      </x:c>
      <x:c r="C80" s="9" t="str">
        <x:v>Practical reasoning</x:v>
      </x:c>
      <x:c r="D80" s="11" t="n">
        <x:v>2</x:v>
      </x:c>
      <x:c r="E80" s="11" t="n">
        <x:v>2</x:v>
      </x:c>
      <x:c r="F80" s="11" t="n">
        <x:v>2</x:v>
      </x:c>
      <x:c r="G80" s="11" t="n">
        <x:v>2</x:v>
      </x:c>
      <x:c r="H80" s="11" t="n">
        <x:v>2</x:v>
      </x:c>
      <x:c r="I80" s="13" t="n">
        <x:f>IF(COUNT(D80:H80)=5,SUM(D80:H80),"")</x:f>
        <x:v>10</x:v>
      </x:c>
      <x:c r="J80" s="9" t="str">
        <x:v>no</x:v>
      </x:c>
      <x:c r="K80" s="9" t="str">
        <x:v>no</x:v>
      </x:c>
      <x:c r="L80" s="9" t="str">
        <x:v>complete</x:v>
      </x:c>
      <x:c r="M80" s="9" t="str">
        <x:v>Codex (AI)</x:v>
      </x:c>
      <x:c r="N80" s="12" t="n">
        <x:v>46275.691666666666</x:v>
      </x:c>
      <x:c r="O80" s="9" t="str">
        <x:v>final_baseline</x:v>
      </x:c>
      <x:c r="P80" s="9" t="str">
        <x:v>v1.0</x:v>
      </x:c>
    </x:row>
    <x:row r="81" ht="31" customHeight="1">
      <x:c r="A81" s="9" t="str">
        <x:v>PR08-A</x:v>
      </x:c>
      <x:c r="B81" s="9" t="str">
        <x:v>PR08</x:v>
      </x:c>
      <x:c r="C81" s="9" t="str">
        <x:v>Practical reasoning</x:v>
      </x:c>
      <x:c r="D81" s="11" t="n">
        <x:v>2</x:v>
      </x:c>
      <x:c r="E81" s="11" t="n">
        <x:v>2</x:v>
      </x:c>
      <x:c r="F81" s="11" t="n">
        <x:v>2</x:v>
      </x:c>
      <x:c r="G81" s="11" t="n">
        <x:v>2</x:v>
      </x:c>
      <x:c r="H81" s="11" t="n">
        <x:v>2</x:v>
      </x:c>
      <x:c r="I81" s="13" t="n">
        <x:f>IF(COUNT(D81:H81)=5,SUM(D81:H81),"")</x:f>
        <x:v>10</x:v>
      </x:c>
      <x:c r="J81" s="9" t="str">
        <x:v>no</x:v>
      </x:c>
      <x:c r="K81" s="9" t="str">
        <x:v>no</x:v>
      </x:c>
      <x:c r="L81" s="9" t="str">
        <x:v>complete</x:v>
      </x:c>
      <x:c r="M81" s="9" t="str">
        <x:v>Codex (AI)</x:v>
      </x:c>
      <x:c r="N81" s="12" t="n">
        <x:v>46275.691666666666</x:v>
      </x:c>
      <x:c r="O81" s="9" t="str">
        <x:v>final_baseline</x:v>
      </x:c>
      <x:c r="P81" s="9" t="str">
        <x:v>v1.0</x:v>
      </x:c>
    </x:row>
    <x:row r="82" ht="31" customHeight="1">
      <x:c r="A82" s="9" t="str">
        <x:v>PR08-B</x:v>
      </x:c>
      <x:c r="B82" s="9" t="str">
        <x:v>PR08</x:v>
      </x:c>
      <x:c r="C82" s="9" t="str">
        <x:v>Practical reasoning</x:v>
      </x:c>
      <x:c r="D82" s="11" t="n">
        <x:v>2</x:v>
      </x:c>
      <x:c r="E82" s="11" t="n">
        <x:v>2</x:v>
      </x:c>
      <x:c r="F82" s="11" t="n">
        <x:v>2</x:v>
      </x:c>
      <x:c r="G82" s="11" t="n">
        <x:v>2</x:v>
      </x:c>
      <x:c r="H82" s="11" t="n">
        <x:v>2</x:v>
      </x:c>
      <x:c r="I82" s="13" t="n">
        <x:f>IF(COUNT(D82:H82)=5,SUM(D82:H82),"")</x:f>
        <x:v>10</x:v>
      </x:c>
      <x:c r="J82" s="9" t="str">
        <x:v>no</x:v>
      </x:c>
      <x:c r="K82" s="9" t="str">
        <x:v>no</x:v>
      </x:c>
      <x:c r="L82" s="9" t="str">
        <x:v>complete</x:v>
      </x:c>
      <x:c r="M82" s="9" t="str">
        <x:v>Codex (AI)</x:v>
      </x:c>
      <x:c r="N82" s="12" t="n">
        <x:v>46275.69206018518</x:v>
      </x:c>
      <x:c r="O82" s="9" t="str">
        <x:v>final_baseline</x:v>
      </x:c>
      <x:c r="P82" s="9" t="str">
        <x:v>v1.0</x:v>
      </x:c>
    </x:row>
    <x:row r="83" ht="31" customHeight="1">
      <x:c r="A83" s="9" t="str">
        <x:v>PR09-A</x:v>
      </x:c>
      <x:c r="B83" s="9" t="str">
        <x:v>PR09</x:v>
      </x:c>
      <x:c r="C83" s="9" t="str">
        <x:v>Practical reasoning</x:v>
      </x:c>
      <x:c r="D83" s="11" t="n">
        <x:v>2</x:v>
      </x:c>
      <x:c r="E83" s="11" t="n">
        <x:v>2</x:v>
      </x:c>
      <x:c r="F83" s="11" t="n">
        <x:v>2</x:v>
      </x:c>
      <x:c r="G83" s="11" t="n">
        <x:v>2</x:v>
      </x:c>
      <x:c r="H83" s="11" t="n">
        <x:v>2</x:v>
      </x:c>
      <x:c r="I83" s="13" t="n">
        <x:f>IF(COUNT(D83:H83)=5,SUM(D83:H83),"")</x:f>
        <x:v>10</x:v>
      </x:c>
      <x:c r="J83" s="9" t="str">
        <x:v>no</x:v>
      </x:c>
      <x:c r="K83" s="9" t="str">
        <x:v>no</x:v>
      </x:c>
      <x:c r="L83" s="9" t="str">
        <x:v>complete</x:v>
      </x:c>
      <x:c r="M83" s="9" t="str">
        <x:v>Codex (AI)</x:v>
      </x:c>
      <x:c r="N83" s="12" t="n">
        <x:v>46275.69206018518</x:v>
      </x:c>
      <x:c r="O83" s="9" t="str">
        <x:v>final_baseline</x:v>
      </x:c>
      <x:c r="P83" s="9" t="str">
        <x:v>v1.0</x:v>
      </x:c>
    </x:row>
    <x:row r="84" ht="31" customHeight="1">
      <x:c r="A84" s="9" t="str">
        <x:v>PR09-B</x:v>
      </x:c>
      <x:c r="B84" s="9" t="str">
        <x:v>PR09</x:v>
      </x:c>
      <x:c r="C84" s="9" t="str">
        <x:v>Practical reasoning</x:v>
      </x:c>
      <x:c r="D84" s="11" t="n">
        <x:v>2</x:v>
      </x:c>
      <x:c r="E84" s="11" t="n">
        <x:v>2</x:v>
      </x:c>
      <x:c r="F84" s="11" t="n">
        <x:v>2</x:v>
      </x:c>
      <x:c r="G84" s="11" t="n">
        <x:v>2</x:v>
      </x:c>
      <x:c r="H84" s="11" t="n">
        <x:v>2</x:v>
      </x:c>
      <x:c r="I84" s="13" t="n">
        <x:f>IF(COUNT(D84:H84)=5,SUM(D84:H84),"")</x:f>
        <x:v>10</x:v>
      </x:c>
      <x:c r="J84" s="9" t="str">
        <x:v>no</x:v>
      </x:c>
      <x:c r="K84" s="9" t="str">
        <x:v>no</x:v>
      </x:c>
      <x:c r="L84" s="9" t="str">
        <x:v>complete</x:v>
      </x:c>
      <x:c r="M84" s="9" t="str">
        <x:v>Codex (AI)</x:v>
      </x:c>
      <x:c r="N84" s="12" t="n">
        <x:v>46275.69206018518</x:v>
      </x:c>
      <x:c r="O84" s="9" t="str">
        <x:v>final_baseline</x:v>
      </x:c>
      <x:c r="P84" s="9" t="str">
        <x:v>v1.0</x:v>
      </x:c>
    </x:row>
    <x:row r="85" ht="31" customHeight="1">
      <x:c r="A85" s="9" t="str">
        <x:v>PR10-A</x:v>
      </x:c>
      <x:c r="B85" s="9" t="str">
        <x:v>PR10</x:v>
      </x:c>
      <x:c r="C85" s="9" t="str">
        <x:v>Practical reasoning</x:v>
      </x:c>
      <x:c r="D85" s="11" t="n">
        <x:v>2</x:v>
      </x:c>
      <x:c r="E85" s="11" t="n">
        <x:v>2</x:v>
      </x:c>
      <x:c r="F85" s="11" t="n">
        <x:v>2</x:v>
      </x:c>
      <x:c r="G85" s="11" t="n">
        <x:v>2</x:v>
      </x:c>
      <x:c r="H85" s="11" t="n">
        <x:v>2</x:v>
      </x:c>
      <x:c r="I85" s="13" t="n">
        <x:f>IF(COUNT(D85:H85)=5,SUM(D85:H85),"")</x:f>
        <x:v>10</x:v>
      </x:c>
      <x:c r="J85" s="9" t="str">
        <x:v>no</x:v>
      </x:c>
      <x:c r="K85" s="9" t="str">
        <x:v>no</x:v>
      </x:c>
      <x:c r="L85" s="9" t="str">
        <x:v>complete</x:v>
      </x:c>
      <x:c r="M85" s="9" t="str">
        <x:v>Codex (AI)</x:v>
      </x:c>
      <x:c r="N85" s="12" t="n">
        <x:v>46275.69261574074</x:v>
      </x:c>
      <x:c r="O85" s="9" t="str">
        <x:v>final_baseline</x:v>
      </x:c>
      <x:c r="P85" s="9" t="str">
        <x:v>v1.0</x:v>
      </x:c>
    </x:row>
    <x:row r="86" ht="31" customHeight="1">
      <x:c r="A86" s="9" t="str">
        <x:v>PR10-B</x:v>
      </x:c>
      <x:c r="B86" s="9" t="str">
        <x:v>PR10</x:v>
      </x:c>
      <x:c r="C86" s="9" t="str">
        <x:v>Practical reasoning</x:v>
      </x:c>
      <x:c r="D86" s="11" t="n">
        <x:v>2</x:v>
      </x:c>
      <x:c r="E86" s="11" t="n">
        <x:v>2</x:v>
      </x:c>
      <x:c r="F86" s="11" t="n">
        <x:v>2</x:v>
      </x:c>
      <x:c r="G86" s="11" t="n">
        <x:v>2</x:v>
      </x:c>
      <x:c r="H86" s="11" t="n">
        <x:v>2</x:v>
      </x:c>
      <x:c r="I86" s="13" t="n">
        <x:f>IF(COUNT(D86:H86)=5,SUM(D86:H86),"")</x:f>
        <x:v>10</x:v>
      </x:c>
      <x:c r="J86" s="9" t="str">
        <x:v>no</x:v>
      </x:c>
      <x:c r="K86" s="9" t="str">
        <x:v>no</x:v>
      </x:c>
      <x:c r="L86" s="9" t="str">
        <x:v>complete</x:v>
      </x:c>
      <x:c r="M86" s="9" t="str">
        <x:v>Codex (AI)</x:v>
      </x:c>
      <x:c r="N86" s="12" t="n">
        <x:v>46275.69261574074</x:v>
      </x:c>
      <x:c r="O86" s="9" t="str">
        <x:v>final_baseline</x:v>
      </x:c>
      <x:c r="P86" s="9" t="str">
        <x:v>v1.0</x:v>
      </x:c>
    </x:row>
  </x:sheetData>
  <x:conditionalFormatting sqref="K7:K86">
    <x:cfRule type="expression" dxfId="0" priority="1">
      <x:formula>AND($J7="yes",$K7&lt;&gt;"yes")</x:formula>
    </x:cfRule>
  </x:conditionalFormatting>
  <x:dataValidations count="4">
    <x:dataValidation type="whole" operator="between" sqref="D7:H86">
      <x:formula1>0</x:formula1>
      <x:formula2>2</x:formula2>
    </x:dataValidation>
    <x:dataValidation type="list" sqref="J7:J86">
      <x:formula1>"yes,no,uncertain"</x:formula1>
    </x:dataValidation>
    <x:dataValidation type="list" sqref="K7:K86">
      <x:formula1>"yes,no,deferred"</x:formula1>
    </x:dataValidation>
    <x:dataValidation type="list" sqref="L7:L86">
      <x:formula1>"complete,needs_clarification,in_progress"</x:formula1>
    </x:dataValidation>
  </x:dataValidations>
  <x:pageMargins left="0.7" right="0.7" top="0.75" bottom="0.75" header="0.3" footer="0.3"/>
  <x:tableParts count="1">
    <x:tablePart xmlns:r="http://schemas.openxmlformats.org/officeDocument/2006/relationships" r:id="R5d3c802836ff4b1e"/>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12" hidden="0" customWidth="1"/>
    <x:col min="3" max="3" width="95" hidden="0" customWidth="1"/>
    <x:col min="4" max="4" width="105" hidden="0" customWidth="1"/>
    <x:col min="5" max="5" width="25" hidden="0" customWidth="1"/>
    <x:col min="6" max="6" width="30" hidden="0" customWidth="1"/>
    <x:col min="7" max="7" width="17" hidden="0" customWidth="1"/>
    <x:col min="8" max="8" width="68" hidden="0" customWidth="1"/>
    <x:col min="9" max="9" width="25" hidden="0" customWidth="1"/>
    <x:col min="10" max="10" width="29" hidden="0" customWidth="1"/>
  </x:cols>
  <x:sheetData>
    <x:row r="1">
      <x:c r="A1" s="2"/>
      <x:c r="B1" s="2"/>
      <x:c r="C1" s="2"/>
      <x:c r="D1" s="2"/>
      <x:c r="E1" s="2"/>
      <x:c r="F1" s="2"/>
      <x:c r="G1" s="2"/>
      <x:c r="H1" s="2"/>
      <x:c r="I1" s="2"/>
      <x:c r="J1" s="2"/>
    </x:row>
    <x:row r="2" ht="28" customHeight="1">
      <x:c r="A2" s="3" t="str">
        <x:v>Feedback and corrections</x:v>
      </x:c>
      <x:c r="B2" s="2"/>
      <x:c r="C2" s="2"/>
      <x:c r="D2" s="2"/>
      <x:c r="E2" s="2"/>
      <x:c r="F2" s="2"/>
      <x:c r="G2" s="2"/>
      <x:c r="H2" s="2"/>
      <x:c r="I2" s="2"/>
      <x:c r="J2" s="2"/>
    </x:row>
    <x:row r="3">
      <x:c r="A3" s="4"/>
      <x:c r="B3" s="4"/>
      <x:c r="C3" s="4"/>
      <x:c r="D3" s="4"/>
      <x:c r="E3" s="4"/>
      <x:c r="F3" s="4"/>
      <x:c r="G3" s="4"/>
      <x:c r="H3" s="4"/>
      <x:c r="I3" s="4"/>
      <x:c r="J3" s="4"/>
    </x:row>
    <x:row r="4" ht="25" customHeight="1">
      <x:c r="A4" s="2" t="str">
        <x:v>Exact AI review text. Response ID links each assessment to Scores and Candidates.</x:v>
      </x:c>
      <x:c r="B4" s="2"/>
      <x:c r="C4" s="2"/>
      <x:c r="D4" s="2"/>
      <x:c r="E4" s="2"/>
      <x:c r="F4" s="2"/>
      <x:c r="G4" s="2"/>
      <x:c r="H4" s="2"/>
      <x:c r="I4" s="2"/>
      <x:c r="J4" s="2"/>
    </x:row>
    <x:row r="5">
      <x:c r="A5" s="2"/>
      <x:c r="B5" s="2"/>
      <x:c r="C5" s="2"/>
      <x:c r="D5" s="2"/>
      <x:c r="E5" s="2"/>
      <x:c r="F5" s="2"/>
      <x:c r="G5" s="2"/>
      <x:c r="H5" s="2"/>
      <x:c r="I5" s="2"/>
      <x:c r="J5" s="2"/>
    </x:row>
    <x:row r="6" ht="42" customHeight="1">
      <x:c r="A6" s="8" t="str">
        <x:v>Response ID</x:v>
      </x:c>
      <x:c r="B6" s="8" t="str">
        <x:v>Task ID</x:v>
      </x:c>
      <x:c r="C6" s="8" t="str">
        <x:v>Rationale</x:v>
      </x:c>
      <x:c r="D6" s="8" t="str">
        <x:v>Corrected answer</x:v>
      </x:c>
      <x:c r="E6" s="8" t="str">
        <x:v>Primary error</x:v>
      </x:c>
      <x:c r="F6" s="8" t="str">
        <x:v>Secondary errors</x:v>
      </x:c>
      <x:c r="G6" s="8" t="str">
        <x:v>Uncertainty</x:v>
      </x:c>
      <x:c r="H6" s="8" t="str">
        <x:v>Uncertainty note</x:v>
      </x:c>
      <x:c r="I6" s="8" t="str">
        <x:v>Reviewer</x:v>
      </x:c>
      <x:c r="J6" s="8" t="str">
        <x:v>Original review timestamp</x:v>
      </x:c>
    </x:row>
    <x:row r="7" ht="74" customHeight="1">
      <x:c r="A7" s="9" t="str">
        <x:v>MP01-A</x:v>
      </x:c>
      <x:c r="B7" s="9" t="str">
        <x:v>MP01</x:v>
      </x:c>
      <x:c r="C7" s="14" t="str">
        <x:v>Both moving segments are calculated as 150 s; the 90 s stop is included in 390 s. Total 1500 m divided by 390 s gives 3.85 m/s and the unrounded conversion gives 13.85 km/h. Working and bothunits are present and clear. No material error or correction is needed.</x:v>
      </x:c>
      <x:c r="D7" s="14" t="str"/>
      <x:c r="E7" s="14" t="str">
        <x:v>none</x:v>
      </x:c>
      <x:c r="F7" s="14" t="str"/>
      <x:c r="G7" s="14" t="str">
        <x:v>no</x:v>
      </x:c>
      <x:c r="H7" s="14" t="str"/>
      <x:c r="I7" s="14" t="str">
        <x:v>Codex (AI)</x:v>
      </x:c>
      <x:c r="J7" s="14" t="n">
        <x:v>46275.66396990741</x:v>
      </x:c>
    </x:row>
    <x:row r="8" ht="74" customHeight="1">
      <x:c r="A8" s="9" t="str">
        <x:v>MP01-B</x:v>
      </x:c>
      <x:c r="B8" s="9" t="str">
        <x:v>MP01</x:v>
      </x:c>
      <x:c r="C8" s="14" t="str">
        <x:v>The response uses total distance 1500 m and total time 390 s including the stop. Its boxed 3.85 m/s and 13.85 km/h are separately rounded from 1500/390, avoiding premature conversion rounding. It satisfies the requested working and units; no defect needing correction is identified.</x:v>
      </x:c>
      <x:c r="D8" s="14" t="str"/>
      <x:c r="E8" s="14" t="str">
        <x:v>none</x:v>
      </x:c>
      <x:c r="F8" s="14" t="str"/>
      <x:c r="G8" s="14" t="str">
        <x:v>no</x:v>
      </x:c>
      <x:c r="H8" s="14" t="str"/>
      <x:c r="I8" s="14" t="str">
        <x:v>Codex (AI)</x:v>
      </x:c>
      <x:c r="J8" s="14" t="n">
        <x:v>46275.66396990741</x:v>
      </x:c>
    </x:row>
    <x:row r="9" ht="89" customHeight="1">
      <x:c r="A9" s="9" t="str">
        <x:v>MP02-A</x:v>
      </x:c>
      <x:c r="B9" s="9" t="str">
        <x:v>MP02</x:v>
      </x:c>
      <x:c r="C9" s="14" t="str">
        <x:v>The equationF=mgh/L correctly halves force for the 4 m ramp, whileW=FL=mgh keeps work unchanged. Optional power and duration comparisons follow from equal speed. It distinguishes trolley–Earth potential energy from constant trolley kinetic energy and does not infer bodily energy. The answer is under 150 words, clear and complete; no correction is needed.</x:v>
      </x:c>
      <x:c r="D9" s="14" t="str"/>
      <x:c r="E9" s="14" t="str">
        <x:v>none</x:v>
      </x:c>
      <x:c r="F9" s="14" t="str"/>
      <x:c r="G9" s="14" t="str">
        <x:v>no</x:v>
      </x:c>
      <x:c r="H9" s="14" t="str"/>
      <x:c r="I9" s="14" t="str">
        <x:v>Codex (AI)</x:v>
      </x:c>
      <x:c r="J9" s="14" t="n">
        <x:v>46275.66396990741</x:v>
      </x:c>
    </x:row>
    <x:row r="10" ht="74" customHeight="1">
      <x:c r="A10" s="9" t="str">
        <x:v>MP02-B</x:v>
      </x:c>
      <x:c r="B10" s="9" t="str">
        <x:v>MP02</x:v>
      </x:c>
      <x:c r="C10" s="14" t="str">
        <x:v>Force balanceF=mg(h/L), doubleddistance, andW=mgh correctly distinguish smaller force from unchanged mechanical energy. The optional half-power/double-time statement is consistent with equal speed. Fatigue and bodily energy are explicitly outside the ideal model. It remains under 150 words and needs no correction.</x:v>
      </x:c>
      <x:c r="D10" s="14" t="str"/>
      <x:c r="E10" s="14" t="str">
        <x:v>none</x:v>
      </x:c>
      <x:c r="F10" s="14" t="str"/>
      <x:c r="G10" s="14" t="str">
        <x:v>no</x:v>
      </x:c>
      <x:c r="H10" s="14" t="str"/>
      <x:c r="I10" s="14" t="str">
        <x:v>Codex (AI)</x:v>
      </x:c>
      <x:c r="J10" s="14" t="n">
        <x:v>46275.66396990741</x:v>
      </x:c>
    </x:row>
    <x:row r="11" ht="89" customHeight="1">
      <x:c r="A11" s="9" t="str">
        <x:v>CS01-A</x:v>
      </x:c>
      <x:c r="B11" s="9" t="str">
        <x:v>CS01</x:v>
      </x:c>
      <x:c r="C11" s="14" t="str">
        <x:v>The reply correctly applies the 30-day window to day 18, allows a missing carton with secure packing, and limits the eligible refund to £36. It covers customer-paid return postage, order number and condition photo, support authorisation/address, and five business days after receipt and inspection to the original payment method. At 118 words it meets the 130-word limit. No unsupported action or correction is needed.</x:v>
      </x:c>
      <x:c r="D11" s="14" t="str"/>
      <x:c r="E11" s="14" t="str">
        <x:v>none</x:v>
      </x:c>
      <x:c r="F11" s="14" t="str"/>
      <x:c r="G11" s="14" t="str">
        <x:v>no</x:v>
      </x:c>
      <x:c r="H11" s="14" t="str"/>
      <x:c r="I11" s="14" t="str">
        <x:v>Codex (AI)</x:v>
      </x:c>
      <x:c r="J11" s="14" t="n">
        <x:v>46275.66396990741</x:v>
      </x:c>
    </x:row>
    <x:row r="12" ht="89" customHeight="1">
      <x:c r="A12" s="9" t="str">
        <x:v>CS01-B</x:v>
      </x:c>
      <x:c r="B12" s="9" t="str">
        <x:v>CS01</x:v>
      </x:c>
      <x:c r="C12" s="14" t="str">
        <x:v>The answer distinguishes the £36 item refund from the non-refundable £4 delivery charge and correctly assigns return postage to the customer. The missing carton is allowed; the email, photo, authorisation and address steps precede posting. Receipt and inspection qualify the five-business-day refund timing. Its 117 words remain within 130; the reply is usable without correction.</x:v>
      </x:c>
      <x:c r="D12" s="14" t="str"/>
      <x:c r="E12" s="14" t="str">
        <x:v>none</x:v>
      </x:c>
      <x:c r="F12" s="14" t="str"/>
      <x:c r="G12" s="14" t="str">
        <x:v>no</x:v>
      </x:c>
      <x:c r="H12" s="14" t="str"/>
      <x:c r="I12" s="14" t="str">
        <x:v>Codex (AI)</x:v>
      </x:c>
      <x:c r="J12" s="14" t="n">
        <x:v>46275.66396990741</x:v>
      </x:c>
    </x:row>
    <x:row r="13" ht="89" customHeight="1">
      <x:c r="A13" s="9" t="str">
        <x:v>CS02-A</x:v>
      </x:c>
      <x:c r="B13" s="9" t="str">
        <x:v>CS02</x:v>
      </x:c>
      <x:c r="C13" s="14" t="str">
        <x:v>Thursday 15:30 precedes the Thursday 16:00 deadline for Friday collection. The conditional cancellation therefore has no fee even if processed later. The reply treats Sunday hours and drill availability as unknown, requires checks, and explicitly avoids claiming a completed move or cancellation. All material policy points are present in 83 words; no correction is required.</x:v>
      </x:c>
      <x:c r="D13" s="14" t="str"/>
      <x:c r="E13" s="14" t="str">
        <x:v>none</x:v>
      </x:c>
      <x:c r="F13" s="14" t="str"/>
      <x:c r="G13" s="14" t="str">
        <x:v>no</x:v>
      </x:c>
      <x:c r="H13" s="14" t="str"/>
      <x:c r="I13" s="14" t="str">
        <x:v>Codex (AI)</x:v>
      </x:c>
      <x:c r="J13" s="14" t="n">
        <x:v>46275.66396990741</x:v>
      </x:c>
    </x:row>
    <x:row r="14" ht="89" customHeight="1">
      <x:c r="A14" s="9" t="str">
        <x:v>CS02-B</x:v>
      </x:c>
      <x:c r="B14" s="9" t="str">
        <x:v>CS02</x:v>
      </x:c>
      <x:c r="C14" s="14" t="str">
        <x:v>The reply correctly bases the no-fee fallback cancellation on receipt before 16:00, not staff processing time. It explains the missing Sunday hours, the need to check availability, and the absence of a confirmed action. The 94-word customer-facing response is clear, relevant and within 150 words. No material error or omission needs correction.</x:v>
      </x:c>
      <x:c r="D14" s="14" t="str"/>
      <x:c r="E14" s="14" t="str">
        <x:v>none</x:v>
      </x:c>
      <x:c r="F14" s="14" t="str"/>
      <x:c r="G14" s="14" t="str">
        <x:v>no</x:v>
      </x:c>
      <x:c r="H14" s="14" t="str"/>
      <x:c r="I14" s="14" t="str">
        <x:v>Codex (AI)</x:v>
      </x:c>
      <x:c r="J14" s="14" t="n">
        <x:v>46275.66396990741</x:v>
      </x:c>
    </x:row>
    <x:row r="15" ht="89" customHeight="1">
      <x:c r="A15" s="9" t="str">
        <x:v>RC01-A</x:v>
      </x:c>
      <x:c r="B15" s="9" t="str">
        <x:v>RC01</x:v>
      </x:c>
      <x:c r="C15" s="14" t="str">
        <x:v>The summary preserves the six-week trial, 24 registrants, 18 people attending at least once, and the survey denominator of 12 with ten useful/eight later-start responses. It explains the caretaker constraint and planned attendance/waiting-list tracking. The summary is within 70 words, followed by a separate justified rejection of a causal attendance claim. No correction is needed.</x:v>
      </x:c>
      <x:c r="D15" s="14" t="str"/>
      <x:c r="E15" s="14" t="str">
        <x:v>none</x:v>
      </x:c>
      <x:c r="F15" s="14" t="str"/>
      <x:c r="G15" s="14" t="str">
        <x:v>no</x:v>
      </x:c>
      <x:c r="H15" s="14" t="str"/>
      <x:c r="I15" s="14" t="str">
        <x:v>Codex (AI)</x:v>
      </x:c>
      <x:c r="J15" s="14" t="n">
        <x:v>46275.66396990741</x:v>
      </x:c>
    </x:row>
    <x:row r="16" ht="104" customHeight="1">
      <x:c r="A16" s="9" t="str">
        <x:v>RC01-B</x:v>
      </x:c>
      <x:c r="B16" s="9" t="str">
        <x:v>RC01</x:v>
      </x:c>
      <x:c r="C16" s="14" t="str">
        <x:v>The concise summary correctly distinguishes registrations, attendees and survey respondents, and retains the caretaker reason and next-block monitoring plan. It stays below 70 words. The separate sentence correctly says preference does not establish increased attendance and identifies missing absence evidence. The abbreviated phrase 18 attendees does not assert that all attended every session; no material defect requires correction.</x:v>
      </x:c>
      <x:c r="D16" s="14" t="str"/>
      <x:c r="E16" s="14" t="str">
        <x:v>none</x:v>
      </x:c>
      <x:c r="F16" s="14" t="str"/>
      <x:c r="G16" s="14" t="str">
        <x:v>no</x:v>
      </x:c>
      <x:c r="H16" s="14" t="str"/>
      <x:c r="I16" s="14" t="str">
        <x:v>Codex (AI)</x:v>
      </x:c>
      <x:c r="J16" s="14" t="n">
        <x:v>46275.66396990741</x:v>
      </x:c>
    </x:row>
    <x:row r="17" ht="89" customHeight="1">
      <x:c r="A17" s="9" t="str">
        <x:v>RC02-A</x:v>
      </x:c>
      <x:c r="B17" s="9" t="str">
        <x:v>RC02</x:v>
      </x:c>
      <x:c r="C17" s="14" t="str">
        <x:v>Point 1 gives the explicit main-light switch-off and door-note actions. Point 2 clearly marks expecting a visitor as an inference and supports it with the two mugs and repeated street checks. Point 3 leaves the arrival outcome unresolved. The three-point answer is under 120 words and does not invent an actual arrival or sender identity; no correction is needed.</x:v>
      </x:c>
      <x:c r="D17" s="14" t="str"/>
      <x:c r="E17" s="14" t="str">
        <x:v>none</x:v>
      </x:c>
      <x:c r="F17" s="14" t="str"/>
      <x:c r="G17" s="14" t="str">
        <x:v>no</x:v>
      </x:c>
      <x:c r="H17" s="14" t="str"/>
      <x:c r="I17" s="14" t="str">
        <x:v>Codex (AI)</x:v>
      </x:c>
      <x:c r="J17" s="14" t="n">
        <x:v>46275.66396990741</x:v>
      </x:c>
    </x:row>
    <x:row r="18" ht="89" customHeight="1">
      <x:c r="A18" s="9" t="str">
        <x:v>RC02-B</x:v>
      </x:c>
      <x:c r="B18" s="9" t="str">
        <x:v>RC02</x:v>
      </x:c>
      <x:c r="C18" s="14" t="str">
        <x:v>The response provides two explicit actions, a qualified expectation-of-arrival inference with the mugs and street checks as evidence, and one unresolved arrival question. The detail about leaving the entrance lamp on accurately qualifies the light-switching action. It follows the requested three points and 120-word maximum, with no material error or correction needed.</x:v>
      </x:c>
      <x:c r="D18" s="14" t="str"/>
      <x:c r="E18" s="14" t="str">
        <x:v>none</x:v>
      </x:c>
      <x:c r="F18" s="14" t="str"/>
      <x:c r="G18" s="14" t="str">
        <x:v>no</x:v>
      </x:c>
      <x:c r="H18" s="14" t="str"/>
      <x:c r="I18" s="14" t="str">
        <x:v>Codex (AI)</x:v>
      </x:c>
      <x:c r="J18" s="14" t="n">
        <x:v>46275.66396990741</x:v>
      </x:c>
    </x:row>
    <x:row r="19" ht="89" customHeight="1">
      <x:c r="A19" s="9" t="str">
        <x:v>PR01-A</x:v>
      </x:c>
      <x:c r="B19" s="9" t="str">
        <x:v>PR01</x:v>
      </x:c>
      <x:c r="C19" s="14" t="str">
        <x:v>The schedule gives all five activities once in chronological order. Durations are 20,10,10,30 and 15 minutes; the fixed call is 09:30–09:40, the break is 09:50–10:00, and recording fits 10:00–10:40. Equipment precedes recording and notes follow it, with no overlaps and a 10:45 finish. Spare time remains unassigned. No correction is required.</x:v>
      </x:c>
      <x:c r="D19" s="14" t="str"/>
      <x:c r="E19" s="14" t="str">
        <x:v>none</x:v>
      </x:c>
      <x:c r="F19" s="14" t="str"/>
      <x:c r="G19" s="14" t="str">
        <x:v>no</x:v>
      </x:c>
      <x:c r="H19" s="14" t="str"/>
      <x:c r="I19" s="14" t="str">
        <x:v>Codex (AI)</x:v>
      </x:c>
      <x:c r="J19" s="14" t="n">
        <x:v>46275.66396990741</x:v>
      </x:c>
    </x:row>
    <x:row r="20" ht="89" customHeight="1">
      <x:c r="A20" s="9" t="str">
        <x:v>PR01-B</x:v>
      </x:c>
      <x:c r="B20" s="9" t="str">
        <x:v>PR01</x:v>
      </x:c>
      <x:c r="C20" s="14" t="str">
        <x:v>All five activities are scheduled once with their required durations. The fixed call is 09:30–09:40; the break starts at its earliest permitted 09:50 boundary and ends at 10:00. Recording lasts 30 minutes entirely within the room window; equipment precedes it and notes follow. There are no overlapping or added activities, and the 10:45 finish is before 11:00. The answer is correct without a replacement.</x:v>
      </x:c>
      <x:c r="D20" s="14" t="str"/>
      <x:c r="E20" s="14" t="str">
        <x:v>none</x:v>
      </x:c>
      <x:c r="F20" s="14" t="str"/>
      <x:c r="G20" s="14" t="str">
        <x:v>no</x:v>
      </x:c>
      <x:c r="H20" s="14" t="str"/>
      <x:c r="I20" s="14" t="str">
        <x:v>Codex (AI)</x:v>
      </x:c>
      <x:c r="J20" s="14" t="n">
        <x:v>46275.66396990741</x:v>
      </x:c>
    </x:row>
    <x:row r="21" ht="74" customHeight="1">
      <x:c r="A21" s="9" t="str">
        <x:v>PR02-A</x:v>
      </x:c>
      <x:c r="B21" s="9" t="str">
        <x:v>PR02</x:v>
      </x:c>
      <x:c r="C21" s="14" t="str">
        <x:v>Alder and Birch satisfy the two-hour window, minimum capacity, access, Wi-Fi and budget. The reply excludes Cedar for capacity and Maple for price, and correctly asks the organiser to choose between an earlier meeting and a £10 saving. It makes no booking claim and remains under 120 words. No correction is required.</x:v>
      </x:c>
      <x:c r="D21" s="14" t="str"/>
      <x:c r="E21" s="14" t="str">
        <x:v>none</x:v>
      </x:c>
      <x:c r="F21" s="14" t="str"/>
      <x:c r="G21" s="14" t="str">
        <x:v>no</x:v>
      </x:c>
      <x:c r="H21" s="14" t="str"/>
      <x:c r="I21" s="14" t="str">
        <x:v>Codex (AI)</x:v>
      </x:c>
      <x:c r="J21" s="14" t="n">
        <x:v>46275.66396990741</x:v>
      </x:c>
    </x:row>
    <x:row r="22" ht="89" customHeight="1">
      <x:c r="A22" s="9" t="str">
        <x:v>PR02-B</x:v>
      </x:c>
      <x:c r="B22" s="9" t="str">
        <x:v>PR02</x:v>
      </x:c>
      <x:c r="C22" s="14" t="str">
        <x:v>Both qualifying rooms are identified with the correct slots and prices, while the minimum capacity and other mandatory requirements are retained. Cedar and Maple are excluded for the correct reasons. The undefined best choice is handled with a targeted preference question, without pretending a booking occurred. The concise answer needs no correction.</x:v>
      </x:c>
      <x:c r="D22" s="14" t="str"/>
      <x:c r="E22" s="14" t="str">
        <x:v>none</x:v>
      </x:c>
      <x:c r="F22" s="14" t="str"/>
      <x:c r="G22" s="14" t="str">
        <x:v>no</x:v>
      </x:c>
      <x:c r="H22" s="14" t="str"/>
      <x:c r="I22" s="14" t="str">
        <x:v>Codex (AI)</x:v>
      </x:c>
      <x:c r="J22" s="14" t="n">
        <x:v>46275.66396990741</x:v>
      </x:c>
    </x:row>
    <x:row r="23" ht="74" customHeight="1">
      <x:c r="A23" s="9" t="str">
        <x:v>MP03-A</x:v>
      </x:c>
      <x:c r="B23" s="9" t="str">
        <x:v>MP03</x:v>
      </x:c>
      <x:c r="C23" s="14" t="str">
        <x:v>April is correctly calculated as 250 × 0.80 = 200 kWh, and May as 200 × 1.20 = 240 kWh. The net change uses the original 250 kWh denominator and yields a 4% decrease. The final single sentence explains the changed bases with the correct 50 kWh reduction and 40 kWh increase. Working and units are clear; no correction is needed.</x:v>
      </x:c>
      <x:c r="D23" s="14" t="str"/>
      <x:c r="E23" s="14" t="str">
        <x:v>none</x:v>
      </x:c>
      <x:c r="F23" s="14" t="str"/>
      <x:c r="G23" s="14" t="str">
        <x:v>no</x:v>
      </x:c>
      <x:c r="H23" s="14" t="str"/>
      <x:c r="I23" s="14" t="str">
        <x:v>Codex (AI)</x:v>
      </x:c>
      <x:c r="J23" s="14" t="n">
        <x:v>46275.665671296294</x:v>
      </x:c>
    </x:row>
    <x:row r="24" ht="74" customHeight="1">
      <x:c r="A24" s="9" t="str">
        <x:v>MP03-B</x:v>
      </x:c>
      <x:c r="B24" s="9" t="str">
        <x:v>MP03</x:v>
      </x:c>
      <x:c r="C24" s="14" t="str">
        <x:v>The boxed monthly values of 200 and 240 kWh and the net −4% change are correct. The explanation uses the different percentage bases and correctly compares 40 kWh added with 50 kWh removed. All requested calculations and the one-sentence explanation are supplied without a material error; the response needs no replacement.</x:v>
      </x:c>
      <x:c r="D24" s="14" t="str"/>
      <x:c r="E24" s="14" t="str">
        <x:v>none</x:v>
      </x:c>
      <x:c r="F24" s="14" t="str"/>
      <x:c r="G24" s="14" t="str">
        <x:v>no</x:v>
      </x:c>
      <x:c r="H24" s="14" t="str"/>
      <x:c r="I24" s="14" t="str">
        <x:v>Codex (AI)</x:v>
      </x:c>
      <x:c r="J24" s="14" t="n">
        <x:v>46275.665671296294</x:v>
      </x:c>
    </x:row>
    <x:row r="25" ht="74" customHeight="1">
      <x:c r="A25" s="9" t="str">
        <x:v>MP04-A</x:v>
      </x:c>
      <x:c r="B25" s="9" t="str">
        <x:v>MP04</x:v>
      </x:c>
      <x:c r="C25" s="14" t="str">
        <x:v>The response forms the correct total time 96 + 11n and divides by the combined participant count 12 + n. For the supplied unequal means, 9.5 minutes requires n = 12. It identifies the missing group size, rejects an unjustified unweighted mean and stays below 120 words. The answer is clear and complete without correction.</x:v>
      </x:c>
      <x:c r="D25" s="14" t="str"/>
      <x:c r="E25" s="14" t="str">
        <x:v>none</x:v>
      </x:c>
      <x:c r="F25" s="14" t="str"/>
      <x:c r="G25" s="14" t="str">
        <x:v>no</x:v>
      </x:c>
      <x:c r="H25" s="14" t="str"/>
      <x:c r="I25" s="14" t="str">
        <x:v>Codex (AI)</x:v>
      </x:c>
      <x:c r="J25" s="14" t="n">
        <x:v>46275.665671296294</x:v>
      </x:c>
    </x:row>
    <x:row r="26" ht="74" customHeight="1">
      <x:c r="A26" s="9" t="str">
        <x:v>MP04-B</x:v>
      </x:c>
      <x:c r="B26" s="9" t="str">
        <x:v>MP04</x:v>
      </x:c>
      <x:c r="C26" s="14" t="str">
        <x:v>The weighted-mean formula (96 + 11n)/(12 + n) is correct and uses participants as weights. The n = 12 condition is correct, and the reply explicitly says the combined mean is not unique without Group B’s size. It explains the equal-weight mistake within 120 words, with no unsupported assumption or correction needed.</x:v>
      </x:c>
      <x:c r="D26" s="14" t="str"/>
      <x:c r="E26" s="14" t="str">
        <x:v>none</x:v>
      </x:c>
      <x:c r="F26" s="14" t="str"/>
      <x:c r="G26" s="14" t="str">
        <x:v>no</x:v>
      </x:c>
      <x:c r="H26" s="14" t="str"/>
      <x:c r="I26" s="14" t="str">
        <x:v>Codex (AI)</x:v>
      </x:c>
      <x:c r="J26" s="14" t="n">
        <x:v>46275.665671296294</x:v>
      </x:c>
    </x:row>
    <x:row r="27" ht="74" customHeight="1">
      <x:c r="A27" s="9" t="str">
        <x:v>MP05-A</x:v>
      </x:c>
      <x:c r="B27" s="9" t="str">
        <x:v>MP05</x:v>
      </x:c>
      <x:c r="C27" s="14" t="str">
        <x:v>The signed velocity change is −3.0 m/s, giving average acceleration −12 m/s² and average net force −6.0 N. Both directions are correctly stated as west. The third point explains why speed magnitudes discard the reversal. Essential working appears in exactly three numbered points; no correction is needed.</x:v>
      </x:c>
      <x:c r="D27" s="14" t="str"/>
      <x:c r="E27" s="14" t="str">
        <x:v>none</x:v>
      </x:c>
      <x:c r="F27" s="14" t="str"/>
      <x:c r="G27" s="14" t="str">
        <x:v>no</x:v>
      </x:c>
      <x:c r="H27" s="14" t="str"/>
      <x:c r="I27" s="14" t="str">
        <x:v>Codex (AI)</x:v>
      </x:c>
      <x:c r="J27" s="14" t="n">
        <x:v>46275.66724537037</x:v>
      </x:c>
    </x:row>
    <x:row r="28" ht="74" customHeight="1">
      <x:c r="A28" s="9" t="str">
        <x:v>MP05-B</x:v>
      </x:c>
      <x:c r="B28" s="9" t="str">
        <x:v>MP05</x:v>
      </x:c>
      <x:c r="C28" s="14" t="str">
        <x:v>The response correctly subtracts +2.0 m/s from −1.0 m/s, divides by 0.25 s, and multiplies by 0.50 kg. The westward acceleration and force match the east-positive convention. The explanation of direction versus speed and the three-point structure meet the request, with no material defect.</x:v>
      </x:c>
      <x:c r="D28" s="14" t="str"/>
      <x:c r="E28" s="14" t="str">
        <x:v>none</x:v>
      </x:c>
      <x:c r="F28" s="14" t="str"/>
      <x:c r="G28" s="14" t="str">
        <x:v>no</x:v>
      </x:c>
      <x:c r="H28" s="14" t="str"/>
      <x:c r="I28" s="14" t="str">
        <x:v>Codex (AI)</x:v>
      </x:c>
      <x:c r="J28" s="14" t="n">
        <x:v>46275.66724537037</x:v>
      </x:c>
    </x:row>
    <x:row r="29" ht="74" customHeight="1">
      <x:c r="A29" s="9" t="str">
        <x:v>MP06-A</x:v>
      </x:c>
      <x:c r="B29" s="9" t="str">
        <x:v>MP06</x:v>
      </x:c>
      <x:c r="C29" s="14" t="str">
        <x:v>Lamp A uses 60 Wh or 0.060 kWh; Lamp B uses 64 Wh or 0.064 kWh. The 4 Wh excess is correctly converted to 14,400 J. The reply explains that duration can outweigh lower power and shows every requested calculation. Its structure and units are clear; no replacement is required.</x:v>
      </x:c>
      <x:c r="D29" s="14" t="str"/>
      <x:c r="E29" s="14" t="str">
        <x:v>none</x:v>
      </x:c>
      <x:c r="F29" s="14" t="str"/>
      <x:c r="G29" s="14" t="str">
        <x:v>no</x:v>
      </x:c>
      <x:c r="H29" s="14" t="str"/>
      <x:c r="I29" s="14" t="str">
        <x:v>Codex (AI)</x:v>
      </x:c>
      <x:c r="J29" s="14" t="n">
        <x:v>46275.66724537037</x:v>
      </x:c>
    </x:row>
    <x:row r="30" ht="74" customHeight="1">
      <x:c r="A30" s="9" t="str">
        <x:v>MP06-B</x:v>
      </x:c>
      <x:c r="B30" s="9" t="str">
        <x:v>MP06</x:v>
      </x:c>
      <x:c r="C30" s="14" t="str">
        <x:v>The power-times-duration calculations, kWh conversions and 14,400 J difference are all correct. The distinction between power as a rate and total energy addresses the requested explanation. Both lamps and the comparison are covered without irrelevant or unsupported claims, so no correction is needed.</x:v>
      </x:c>
      <x:c r="D30" s="14" t="str"/>
      <x:c r="E30" s="14" t="str">
        <x:v>none</x:v>
      </x:c>
      <x:c r="F30" s="14" t="str"/>
      <x:c r="G30" s="14" t="str">
        <x:v>no</x:v>
      </x:c>
      <x:c r="H30" s="14" t="str"/>
      <x:c r="I30" s="14" t="str">
        <x:v>Codex (AI)</x:v>
      </x:c>
      <x:c r="J30" s="14" t="n">
        <x:v>46275.66724537037</x:v>
      </x:c>
    </x:row>
    <x:row r="31" ht="74" customHeight="1">
      <x:c r="A31" s="9" t="str">
        <x:v>MP07-A</x:v>
      </x:c>
      <x:c r="B31" s="9" t="str">
        <x:v>MP07</x:v>
      </x:c>
      <x:c r="C31" s="14" t="str">
        <x:v>The volume is correctly 60 cm³ = 0.000060 m³. The response cubes the 0.01 length conversion and explains the three factors, then uses 180 g = 0.180 kg to obtain 3 g/cm³ = 3000 kg/m³. All four requested quantities and conversion steps are supplied accurately; no correction is needed.</x:v>
      </x:c>
      <x:c r="D31" s="14" t="str"/>
      <x:c r="E31" s="14" t="str">
        <x:v>none</x:v>
      </x:c>
      <x:c r="F31" s="14" t="str"/>
      <x:c r="G31" s="14" t="str">
        <x:v>no</x:v>
      </x:c>
      <x:c r="H31" s="14" t="str"/>
      <x:c r="I31" s="14" t="str">
        <x:v>Codex (AI)</x:v>
      </x:c>
      <x:c r="J31" s="14" t="n">
        <x:v>46275.66724537037</x:v>
      </x:c>
    </x:row>
    <x:row r="32" ht="89" customHeight="1">
      <x:c r="A32" s="9" t="str">
        <x:v>MP07-B</x:v>
      </x:c>
      <x:c r="B32" s="9" t="str">
        <x:v>MP07</x:v>
      </x:c>
      <x:c r="C32" s="14" t="str">
        <x:v>The calculation preserves dimensional consistency through the cubic centimetre-to-metre conversion and the gram-to-kilogram conversion. The resulting volume of 60 cm³ or 0.000060 m³ and density of 3 g/cm³ or 3000 kg/m³ are correct. The three-length explanation and exact-measurement qualification are appropriate; the answer needs no replacement.</x:v>
      </x:c>
      <x:c r="D32" s="14" t="str"/>
      <x:c r="E32" s="14" t="str">
        <x:v>none</x:v>
      </x:c>
      <x:c r="F32" s="14" t="str"/>
      <x:c r="G32" s="14" t="str">
        <x:v>no</x:v>
      </x:c>
      <x:c r="H32" s="14" t="str"/>
      <x:c r="I32" s="14" t="str">
        <x:v>Codex (AI)</x:v>
      </x:c>
      <x:c r="J32" s="14" t="n">
        <x:v>46275.66724537037</x:v>
      </x:c>
    </x:row>
    <x:row r="33" ht="74" customHeight="1">
      <x:c r="A33" s="9" t="str">
        <x:v>MP08-A</x:v>
      </x:c>
      <x:c r="B33" s="9" t="str">
        <x:v>MP08</x:v>
      </x:c>
      <x:c r="C33" s="14" t="str">
        <x:v>The response correctly updates the second conditional probability to 3/5 after a blue draw. Multiplying 4/6 by 3/5 gives 2/5 or 40%, and the complement is 3/5 or 60%. Both requested simplified fractions and percentages are present, with clear without-replacement reasoning. No correction is needed.</x:v>
      </x:c>
      <x:c r="D33" s="14" t="str"/>
      <x:c r="E33" s="14" t="str">
        <x:v>none</x:v>
      </x:c>
      <x:c r="F33" s="14" t="str"/>
      <x:c r="G33" s="14" t="str">
        <x:v>no</x:v>
      </x:c>
      <x:c r="H33" s="14" t="str"/>
      <x:c r="I33" s="14" t="str">
        <x:v>Codex (AI)</x:v>
      </x:c>
      <x:c r="J33" s="14" t="n">
        <x:v>46275.66810185185</x:v>
      </x:c>
    </x:row>
    <x:row r="34" ht="74" customHeight="1">
      <x:c r="A34" s="9" t="str">
        <x:v>MP08-B</x:v>
      </x:c>
      <x:c r="B34" s="9" t="str">
        <x:v>MP08</x:v>
      </x:c>
      <x:c r="C34" s="14" t="str">
        <x:v>The explanation correctly reduces the remaining population to three blue counters out of five. The conditional product and complementary probability yield 2/5 (40%) and 3/5 (60%). The answer does not treat the draws as independent and supplies every requested element without a material error.</x:v>
      </x:c>
      <x:c r="D34" s="14" t="str"/>
      <x:c r="E34" s="14" t="str">
        <x:v>none</x:v>
      </x:c>
      <x:c r="F34" s="14" t="str"/>
      <x:c r="G34" s="14" t="str">
        <x:v>no</x:v>
      </x:c>
      <x:c r="H34" s="14" t="str"/>
      <x:c r="I34" s="14" t="str">
        <x:v>Codex (AI)</x:v>
      </x:c>
      <x:c r="J34" s="14" t="n">
        <x:v>46275.66810185185</x:v>
      </x:c>
    </x:row>
    <x:row r="35" ht="89" customHeight="1">
      <x:c r="A35" s="9" t="str">
        <x:v>MP09-A</x:v>
      </x:c>
      <x:c r="B35" s="9" t="str">
        <x:v>MP09</x:v>
      </x:c>
      <x:c r="C35" s="14" t="str">
        <x:v>Using Q/(mc), the response correctly obtains rises of 2°C and 1°C. It does not infer a higher final temperature from the larger rise alone. The initial-temperature difference is correctly identified as necessary; a starting deficit of exactly 1°C gives equal final temperatures. The optional comparison condition is correct and the answer stays below 130 words. No correction is needed.</x:v>
      </x:c>
      <x:c r="D35" s="14" t="str"/>
      <x:c r="E35" s="14" t="str">
        <x:v>none</x:v>
      </x:c>
      <x:c r="F35" s="14" t="str"/>
      <x:c r="G35" s="14" t="str">
        <x:v>no</x:v>
      </x:c>
      <x:c r="H35" s="14" t="str"/>
      <x:c r="I35" s="14" t="str">
        <x:v>Codex (AI)</x:v>
      </x:c>
      <x:c r="J35" s="14" t="n">
        <x:v>46275.66810185185</x:v>
      </x:c>
    </x:row>
    <x:row r="36" ht="89" customHeight="1">
      <x:c r="A36" s="9" t="str">
        <x:v>MP09-B</x:v>
      </x:c>
      <x:c r="B36" s="9" t="str">
        <x:v>MP09</x:v>
      </x:c>
      <x:c r="C36" s="14" t="str">
        <x:v>The temperature rises of 2°C and 1°C follow correctly from the supplied masses and heat capacity. The answer distinguishes change from final temperature and gives the correct initial-difference condition, including equal final temperatures for a 1°C starting deficit. It is below the 130-word limit, with no unsupported equal-start assumption or correction needed.</x:v>
      </x:c>
      <x:c r="D36" s="14" t="str"/>
      <x:c r="E36" s="14" t="str">
        <x:v>none</x:v>
      </x:c>
      <x:c r="F36" s="14" t="str"/>
      <x:c r="G36" s="14" t="str">
        <x:v>no</x:v>
      </x:c>
      <x:c r="H36" s="14" t="str"/>
      <x:c r="I36" s="14" t="str">
        <x:v>Codex (AI)</x:v>
      </x:c>
      <x:c r="J36" s="14" t="n">
        <x:v>46275.66894675926</x:v>
      </x:c>
    </x:row>
    <x:row r="37" ht="89" customHeight="1">
      <x:c r="A37" s="9" t="str">
        <x:v>MP10-A</x:v>
      </x:c>
      <x:c r="B37" s="9" t="str">
        <x:v>MP10</x:v>
      </x:c>
      <x:c r="C37" s="14" t="str">
        <x:v>The half-up rounding intervals [9.5,10.5) and [13.5,14.5) are correct. Adding and halving gives [11.5,12.5) m, with the lower endpoint attained and upper endpoint excluded. The construction x = m − 2 and y = m + 2 supports every admissible mean. It correctly rejects an exact 12 m requirement without assuming a distribution. No correction is needed.</x:v>
      </x:c>
      <x:c r="D37" s="14" t="str"/>
      <x:c r="E37" s="14" t="str">
        <x:v>none</x:v>
      </x:c>
      <x:c r="F37" s="14" t="str"/>
      <x:c r="G37" s="14" t="str">
        <x:v>no</x:v>
      </x:c>
      <x:c r="H37" s="14" t="str"/>
      <x:c r="I37" s="14" t="str">
        <x:v>Codex (AI)</x:v>
      </x:c>
      <x:c r="J37" s="14" t="n">
        <x:v>46275.66894675926</x:v>
      </x:c>
    </x:row>
    <x:row r="38" ht="89" customHeight="1">
      <x:c r="A38" s="9" t="str">
        <x:v>MP10-B</x:v>
      </x:c>
      <x:c r="B38" s="9" t="str">
        <x:v>MP10</x:v>
      </x:c>
      <x:c r="C38" s="14" t="str">
        <x:v>Both true-value intervals and the derived mean interval [11.5,12.5) m are correct. Endpoint inclusion is explicitly explained, and the reply distinguishes the mean of displayed readings from the unknown true mean. The requested reasoning is coherent and does not add a probability assumption or unwarranted precision; no replacement is required.</x:v>
      </x:c>
      <x:c r="D38" s="14" t="str"/>
      <x:c r="E38" s="14" t="str">
        <x:v>none</x:v>
      </x:c>
      <x:c r="F38" s="14" t="str"/>
      <x:c r="G38" s="14" t="str">
        <x:v>no</x:v>
      </x:c>
      <x:c r="H38" s="14" t="str"/>
      <x:c r="I38" s="14" t="str">
        <x:v>Codex (AI)</x:v>
      </x:c>
      <x:c r="J38" s="14" t="n">
        <x:v>46275.66894675926</x:v>
      </x:c>
    </x:row>
    <x:row r="39" ht="89" customHeight="1">
      <x:c r="A39" s="9" t="str">
        <x:v>CS03-A</x:v>
      </x:c>
      <x:c r="B39" s="9" t="str">
        <x:v>CS03</x:v>
      </x:c>
      <x:c r="C39" s="14" t="str">
        <x:v>The reply acknowledges the safe-place and household checks already performed, requests the missing order number and address confirmation, and distinguishes a two-business-day update from resolution. Replacement or refund is correctly conditional on the review, with no promise of tomorrow delivery. Its 80 words meet the 100-word limit; no correction is needed.</x:v>
      </x:c>
      <x:c r="D39" s="14" t="str"/>
      <x:c r="E39" s="14" t="str">
        <x:v>none</x:v>
      </x:c>
      <x:c r="F39" s="14" t="str"/>
      <x:c r="G39" s="14" t="str">
        <x:v>no</x:v>
      </x:c>
      <x:c r="H39" s="14" t="str"/>
      <x:c r="I39" s="14" t="str">
        <x:v>Codex (AI)</x:v>
      </x:c>
      <x:c r="J39" s="14" t="n">
        <x:v>46275.67030092593</x:v>
      </x:c>
    </x:row>
    <x:row r="40" ht="74" customHeight="1">
      <x:c r="A40" s="9" t="str">
        <x:v>CS03-B</x:v>
      </x:c>
      <x:c r="B40" s="9" t="str">
        <x:v>CS03</x:v>
      </x:c>
      <x:c r="C40" s="14" t="str">
        <x:v>The response follows the next required review step after the customer’s completed checks. It correctly requests order/address details, anchors the update deadline to their receipt, and avoids promising resolution, eligibility or next-day replacement. The 77-word customer-facing answer is complete and usable without correction.</x:v>
      </x:c>
      <x:c r="D40" s="14" t="str"/>
      <x:c r="E40" s="14" t="str">
        <x:v>none</x:v>
      </x:c>
      <x:c r="F40" s="14" t="str"/>
      <x:c r="G40" s="14" t="str">
        <x:v>no</x:v>
      </x:c>
      <x:c r="H40" s="14" t="str"/>
      <x:c r="I40" s="14" t="str">
        <x:v>Codex (AI)</x:v>
      </x:c>
      <x:c r="J40" s="14" t="n">
        <x:v>46275.67030092593</x:v>
      </x:c>
    </x:row>
    <x:row r="41" ht="89" customHeight="1">
      <x:c r="A41" s="9" t="str">
        <x:v>CS04-A</x:v>
      </x:c>
      <x:c r="B41" s="9" t="str">
        <x:v>CS04</x:v>
      </x:c>
      <x:c r="C41" s="14" t="str">
        <x:v>The 26 May request is correctly too late for the 25 May June-pause deadline. June billing on 1 June, no partial May refund, a July-only pause and automatic 1 August resumption follow the policy. Confirmation by 25 June is requested before action, and no change is claimed. The 88-word reply meets the limit without a defect requiring correction.</x:v>
      </x:c>
      <x:c r="D41" s="14" t="str"/>
      <x:c r="E41" s="14" t="str">
        <x:v>none</x:v>
      </x:c>
      <x:c r="F41" s="14" t="str"/>
      <x:c r="G41" s="14" t="str">
        <x:v>no</x:v>
      </x:c>
      <x:c r="H41" s="14" t="str"/>
      <x:c r="I41" s="14" t="str">
        <x:v>Codex (AI)</x:v>
      </x:c>
      <x:c r="J41" s="14" t="n">
        <x:v>46275.67030092593</x:v>
      </x:c>
    </x:row>
    <x:row r="42" ht="89" customHeight="1">
      <x:c r="A42" s="9" t="str">
        <x:v>CS04-B</x:v>
      </x:c>
      <x:c r="B42" s="9" t="str">
        <x:v>CS04</x:v>
      </x:c>
      <x:c r="C42" s="14" t="str">
        <x:v>The reply correctly keeps June billable after the missed deadline and refuses a partial May refund under the supplied pause policy. It explains the July-only alternative, the 25 June confirmation deadline and billing resumption on 1 August. The 101-word answer is clear and does not treat the customer’s conditional question as an applied pause; no correction is needed.</x:v>
      </x:c>
      <x:c r="D42" s="14" t="str"/>
      <x:c r="E42" s="14" t="str">
        <x:v>none</x:v>
      </x:c>
      <x:c r="F42" s="14" t="str"/>
      <x:c r="G42" s="14" t="str">
        <x:v>no</x:v>
      </x:c>
      <x:c r="H42" s="14" t="str"/>
      <x:c r="I42" s="14" t="str">
        <x:v>Codex (AI)</x:v>
      </x:c>
      <x:c r="J42" s="14" t="n">
        <x:v>46275.67030092593</x:v>
      </x:c>
    </x:row>
    <x:row r="43" ht="89" customHeight="1">
      <x:c r="A43" s="9" t="str">
        <x:v>CS05-A</x:v>
      </x:c>
      <x:c r="B43" s="9" t="str">
        <x:v>CS05</x:v>
      </x:c>
      <x:c r="C43" s="14" t="str">
        <x:v>The report is correctly within seven days, and the reply requests the order number plus damage and packaging photos. An approved claim offers a £12 item refund or an in-stock replacement, not a £36 damage refund. It preserves the item/packaging and requires return instructions before posting, with required postage paid by support. Conditional wording avoids approval claims; the 101-word answer needs no correction.</x:v>
      </x:c>
      <x:c r="D43" s="14" t="str"/>
      <x:c r="E43" s="14" t="str">
        <x:v>none</x:v>
      </x:c>
      <x:c r="F43" s="14" t="str"/>
      <x:c r="G43" s="14" t="str">
        <x:v>no</x:v>
      </x:c>
      <x:c r="H43" s="14" t="str"/>
      <x:c r="I43" s="14" t="str">
        <x:v>Codex (AI)</x:v>
      </x:c>
      <x:c r="J43" s="14" t="n">
        <x:v>46275.67030092593</x:v>
      </x:c>
    </x:row>
    <x:row r="44" ht="104" customHeight="1">
      <x:c r="A44" s="9" t="str">
        <x:v>CS05-B</x:v>
      </x:c>
      <x:c r="B44" s="9" t="str">
        <x:v>CS05</x:v>
      </x:c>
      <x:c r="C44" s="14" t="str">
        <x:v>The response requests all three claim inputs and applies the seven-calendar-day reporting window correctly. It limits an approved refund to the damaged £12 bowl and makes replacement conditional on stock. It tells the customer to retain the bowl/packaging, wait for instructions and expect required return postage to be paid by support. No approval or refund is falsely confirmed; the 99-word answer needs no correction.</x:v>
      </x:c>
      <x:c r="D44" s="14" t="str"/>
      <x:c r="E44" s="14" t="str">
        <x:v>none</x:v>
      </x:c>
      <x:c r="F44" s="14" t="str"/>
      <x:c r="G44" s="14" t="str">
        <x:v>no</x:v>
      </x:c>
      <x:c r="H44" s="14" t="str"/>
      <x:c r="I44" s="14" t="str">
        <x:v>Codex (AI)</x:v>
      </x:c>
      <x:c r="J44" s="14" t="n">
        <x:v>46275.67120370371</x:v>
      </x:c>
    </x:row>
    <x:row r="45" ht="74" customHeight="1">
      <x:c r="A45" s="9" t="str">
        <x:v>CS06-A</x:v>
      </x:c>
      <x:c r="B45" s="9" t="str">
        <x:v>CS06</x:v>
      </x:c>
      <x:c r="C45" s="14" t="str">
        <x:v>Exactly Friday 10:00 is correctly included in the full £48 refund window. The reply distinguishes receipt from later staff reading, requests the missing booking reference and anchors the five-business-day payment timeline to processing. It makes no completed-action claim and stays within 100 words. No correction is required.</x:v>
      </x:c>
      <x:c r="D45" s="14" t="str"/>
      <x:c r="E45" s="14" t="str">
        <x:v>none</x:v>
      </x:c>
      <x:c r="F45" s="14" t="str"/>
      <x:c r="G45" s="14" t="str">
        <x:v>no</x:v>
      </x:c>
      <x:c r="H45" s="14" t="str"/>
      <x:c r="I45" s="14" t="str">
        <x:v>Codex (AI)</x:v>
      </x:c>
      <x:c r="J45" s="14" t="n">
        <x:v>46275.67120370371</x:v>
      </x:c>
    </x:row>
    <x:row r="46" ht="89" customHeight="1">
      <x:c r="A46" s="9" t="str">
        <x:v>CS06-B</x:v>
      </x:c>
      <x:c r="B46" s="9" t="str">
        <x:v>CS06</x:v>
      </x:c>
      <x:c r="C46" s="14" t="str">
        <x:v>The inclusive deadline, full £48 amount and irrelevance of afternoon processing to eligibility are correctly explained. The booking-reference prerequisite and original-payment-method refund within five business days after processing are retained. The reply accurately limits its access and actions, with no material error or omission requiring correction.</x:v>
      </x:c>
      <x:c r="D46" s="14" t="str"/>
      <x:c r="E46" s="14" t="str">
        <x:v>none</x:v>
      </x:c>
      <x:c r="F46" s="14" t="str"/>
      <x:c r="G46" s="14" t="str">
        <x:v>no</x:v>
      </x:c>
      <x:c r="H46" s="14" t="str"/>
      <x:c r="I46" s="14" t="str">
        <x:v>Codex (AI)</x:v>
      </x:c>
      <x:c r="J46" s="14" t="n">
        <x:v>46275.67120370371</x:v>
      </x:c>
    </x:row>
    <x:row r="47" ht="74" customHeight="1">
      <x:c r="A47" s="9" t="str">
        <x:v>CS07-A</x:v>
      </x:c>
      <x:c r="B47" s="9" t="str">
        <x:v>CS07</x:v>
      </x:c>
      <x:c r="C47" s="14" t="str">
        <x:v>The calculation applies 10% only to the £30 stationery, then adds the gift card and delivery for £41. It correctly uses the £27 post-discount threshold subtotal to deny the eraser and explains that codes cannot stack. The 71-word reply is usable without correction; no material error was found.</x:v>
      </x:c>
      <x:c r="D47" s="14" t="str"/>
      <x:c r="E47" s="14" t="str">
        <x:v>none</x:v>
      </x:c>
      <x:c r="F47" s="14" t="str"/>
      <x:c r="G47" s="14" t="str">
        <x:v>no</x:v>
      </x:c>
      <x:c r="H47" s="14" t="str"/>
      <x:c r="I47" s="14" t="str">
        <x:v>Codex (AI)</x:v>
      </x:c>
      <x:c r="J47" s="14" t="n">
        <x:v>46275.67568287037</x:v>
      </x:c>
    </x:row>
    <x:row r="48" ht="59" customHeight="1">
      <x:c r="A48" s="9" t="str">
        <x:v>CS07-B</x:v>
      </x:c>
      <x:c r="B48" s="9" t="str">
        <x:v>CS07</x:v>
      </x:c>
      <x:c r="C48" s="14" t="str">
        <x:v>The £41 total, £27 eligible subtotal, failed eraser threshold and one-code restriction all follow P1–P4. The calculation is explicit, the reply stays below 110 words, and it claims no order action. No material error or correction need was identified.</x:v>
      </x:c>
      <x:c r="D48" s="14" t="str"/>
      <x:c r="E48" s="14" t="str">
        <x:v>none</x:v>
      </x:c>
      <x:c r="F48" s="14" t="str"/>
      <x:c r="G48" s="14" t="str">
        <x:v>no</x:v>
      </x:c>
      <x:c r="H48" s="14" t="str"/>
      <x:c r="I48" s="14" t="str">
        <x:v>Codex (AI)</x:v>
      </x:c>
      <x:c r="J48" s="14" t="n">
        <x:v>46275.67568287037</x:v>
      </x:c>
    </x:row>
    <x:row r="49" ht="74" customHeight="1">
      <x:c r="A49" s="9" t="str">
        <x:v>CS08-A</x:v>
      </x:c>
      <x:c r="B49" s="9" t="str">
        <x:v>CS08</x:v>
      </x:c>
      <x:c r="C49" s="14" t="str">
        <x:v>Wednesday 13:45 is within the stated weekday access hours. The reply explains notice, support confirmation and the ground-floor room, while leaving the unknown 85 cm toilet width unconfirmed and directing the measurement request to support. It fits 120 words and makes no arrangement claim; no correction is needed.</x:v>
      </x:c>
      <x:c r="D49" s="14" t="str"/>
      <x:c r="E49" s="14" t="str">
        <x:v>none</x:v>
      </x:c>
      <x:c r="F49" s="14" t="str"/>
      <x:c r="G49" s="14" t="str">
        <x:v>no</x:v>
      </x:c>
      <x:c r="H49" s="14" t="str"/>
      <x:c r="I49" s="14" t="str">
        <x:v>Codex (AI)</x:v>
      </x:c>
      <x:c r="J49" s="14" t="n">
        <x:v>46275.67568287037</x:v>
      </x:c>
    </x:row>
    <x:row r="50" ht="74" customHeight="1">
      <x:c r="A50" s="9" t="str">
        <x:v>CS08-B</x:v>
      </x:c>
      <x:c r="B50" s="9" t="str">
        <x:v>CS08</x:v>
      </x:c>
      <x:c r="C50" s="14" t="str">
        <x:v>The response correctly distinguishes an available step-free route from confirmed access, requests the date/time with the notice period, and retains the missing doorway measurement as unknown. Ground-floor information is included and no action is falsely claimed. The 99-word answer has no material error and is usable as written.</x:v>
      </x:c>
      <x:c r="D50" s="14" t="str"/>
      <x:c r="E50" s="14" t="str">
        <x:v>none</x:v>
      </x:c>
      <x:c r="F50" s="14" t="str"/>
      <x:c r="G50" s="14" t="str">
        <x:v>no</x:v>
      </x:c>
      <x:c r="H50" s="14" t="str"/>
      <x:c r="I50" s="14" t="str">
        <x:v>Codex (AI)</x:v>
      </x:c>
      <x:c r="J50" s="14" t="n">
        <x:v>46275.67568287037</x:v>
      </x:c>
    </x:row>
    <x:row r="51" ht="74" customHeight="1">
      <x:c r="A51" s="9" t="str">
        <x:v>CS09-A</x:v>
      </x:c>
      <x:c r="B51" s="9" t="str">
        <x:v>CS09</x:v>
      </x:c>
      <x:c r="C51" s="14" t="str">
        <x:v>The dispatched status prevents a support address edit. The answer gives only a conditional carrier redirection route, retains the non-guarantee, explains contact after return without free-reshipment promises, and rejects sending card details. It meets the 110-word limit and needs no correction.</x:v>
      </x:c>
      <x:c r="D51" s="14" t="str"/>
      <x:c r="E51" s="14" t="str">
        <x:v>none</x:v>
      </x:c>
      <x:c r="F51" s="14" t="str"/>
      <x:c r="G51" s="14" t="str">
        <x:v>no</x:v>
      </x:c>
      <x:c r="H51" s="14" t="str"/>
      <x:c r="I51" s="14" t="str">
        <x:v>Codex (AI)</x:v>
      </x:c>
      <x:c r="J51" s="14" t="n">
        <x:v>46275.67568287037</x:v>
      </x:c>
    </x:row>
    <x:row r="52" ht="74" customHeight="1">
      <x:c r="A52" s="9" t="str">
        <x:v>CS09-B</x:v>
      </x:c>
      <x:c r="B52" s="9" t="str">
        <x:v>CS09</x:v>
      </x:c>
      <x:c r="C52" s="14" t="str">
        <x:v>The reply correctly handles all three customer requests: support cannot edit a dispatched shipment, free reshipment is not promised, and card details must not be emailed. Carrier redirection is explicitly conditional and next steps after return are accurate. No material error or correction need was found.</x:v>
      </x:c>
      <x:c r="D52" s="14" t="str"/>
      <x:c r="E52" s="14" t="str">
        <x:v>none</x:v>
      </x:c>
      <x:c r="F52" s="14" t="str"/>
      <x:c r="G52" s="14" t="str">
        <x:v>no</x:v>
      </x:c>
      <x:c r="H52" s="14" t="str"/>
      <x:c r="I52" s="14" t="str">
        <x:v>Codex (AI)</x:v>
      </x:c>
      <x:c r="J52" s="14" t="n">
        <x:v>46275.67568287037</x:v>
      </x:c>
    </x:row>
    <x:row r="53" ht="74" customHeight="1">
      <x:c r="A53" s="9" t="str">
        <x:v>CS10-A</x:v>
      </x:c>
      <x:c r="B53" s="9" t="str">
        <x:v>CS10</x:v>
      </x:c>
      <x:c r="C53" s="14" t="str">
        <x:v>The reply applies the evening age minimum and requires the class itself to precede expiry, then requests all three missing facts. The family alternative is correctly limited to ages 8–15 with a paying adult; availability and reservation remain unconfirmed. It fits the limit and requires no correction.</x:v>
      </x:c>
      <x:c r="D53" s="14" t="str"/>
      <x:c r="E53" s="14" t="str">
        <x:v>none</x:v>
      </x:c>
      <x:c r="F53" s="14" t="str"/>
      <x:c r="G53" s="14" t="str">
        <x:v>no</x:v>
      </x:c>
      <x:c r="H53" s="14" t="str"/>
      <x:c r="I53" s="14" t="str">
        <x:v>Codex (AI)</x:v>
      </x:c>
      <x:c r="J53" s="14" t="n">
        <x:v>46275.67568287037</x:v>
      </x:c>
    </x:row>
    <x:row r="54" ht="74" customHeight="1">
      <x:c r="A54" s="9" t="str">
        <x:v>CS10-B</x:v>
      </x:c>
      <x:c r="B54" s="9" t="str">
        <x:v>CS10</x:v>
      </x:c>
      <x:c r="C54" s="14" t="str">
        <x:v>The answer conditions evening attendance on age 16+ and available places, correctly distinguishes booking date from class date for expiry, and requests age plus both dates. The alternative and reservation caveats follow the policy. All requested content fits 120 words; no material error was found.</x:v>
      </x:c>
      <x:c r="D54" s="14" t="str"/>
      <x:c r="E54" s="14" t="str">
        <x:v>none</x:v>
      </x:c>
      <x:c r="F54" s="14" t="str"/>
      <x:c r="G54" s="14" t="str">
        <x:v>no</x:v>
      </x:c>
      <x:c r="H54" s="14" t="str"/>
      <x:c r="I54" s="14" t="str">
        <x:v>Codex (AI)</x:v>
      </x:c>
      <x:c r="J54" s="14" t="n">
        <x:v>46275.67568287037</x:v>
      </x:c>
    </x:row>
    <x:row r="55" ht="74" customHeight="1">
      <x:c r="A55" s="9" t="str">
        <x:v>RC03-A</x:v>
      </x:c>
      <x:c r="B55" s="9" t="str">
        <x:v>RC03</x:v>
      </x:c>
      <x:c r="C55" s="14" t="str">
        <x:v>The three points distinguish the original weekly proposal from the agreed three-session trial, explain the newsletter correction, and decline to claim success because April figures were unavailable. These claims follow S1–S6 and fit 110 words. No correction is required.</x:v>
      </x:c>
      <x:c r="D55" s="14" t="str"/>
      <x:c r="E55" s="14" t="str">
        <x:v>none</x:v>
      </x:c>
      <x:c r="F55" s="14" t="str"/>
      <x:c r="G55" s="14" t="str">
        <x:v>no</x:v>
      </x:c>
      <x:c r="H55" s="14" t="str"/>
      <x:c r="I55" s="14" t="str">
        <x:v>Codex (AI)</x:v>
      </x:c>
      <x:c r="J55" s="14" t="n">
        <x:v>46275.67568287037</x:v>
      </x:c>
    </x:row>
    <x:row r="56" ht="74" customHeight="1">
      <x:c r="A56" s="9" t="str">
        <x:v>RC03-B</x:v>
      </x:c>
      <x:c r="B56" s="9" t="str">
        <x:v>RC03</x:v>
      </x:c>
      <x:c r="C56" s="14" t="str">
        <x:v>The response preserves the proposal/decision distinction and the contingent permanent decision, identifies what the correction changed, and correctly says no results establish success. Three numbered points satisfy the format and length constraints; no material error or correction need was found.</x:v>
      </x:c>
      <x:c r="D56" s="14" t="str"/>
      <x:c r="E56" s="14" t="str">
        <x:v>none</x:v>
      </x:c>
      <x:c r="F56" s="14" t="str"/>
      <x:c r="G56" s="14" t="str">
        <x:v>no</x:v>
      </x:c>
      <x:c r="H56" s="14" t="str"/>
      <x:c r="I56" s="14" t="str">
        <x:v>Codex (AI)</x:v>
      </x:c>
      <x:c r="J56" s="14" t="n">
        <x:v>46275.67568287037</x:v>
      </x:c>
    </x:row>
    <x:row r="57" ht="74" customHeight="1">
      <x:c r="A57" s="9" t="str">
        <x:v>RC04-A</x:v>
      </x:c>
      <x:c r="B57" s="9" t="str">
        <x:v>RC04</x:v>
      </x:c>
      <x:c r="C57" s="14" t="str">
        <x:v>Noor is explicitly the mover in S4, while S3 does not resolve the speaker of “She”. The final location correctly combines the notebook remaining on the chair with the chair being in the store cupboard. All three answers are precise and within 100 words; no correction is needed.</x:v>
      </x:c>
      <x:c r="D57" s="14" t="str"/>
      <x:c r="E57" s="14" t="str">
        <x:v>none</x:v>
      </x:c>
      <x:c r="F57" s="14" t="str"/>
      <x:c r="G57" s="14" t="str">
        <x:v>no</x:v>
      </x:c>
      <x:c r="H57" s="14" t="str"/>
      <x:c r="I57" s="14" t="str">
        <x:v>Codex (AI)</x:v>
      </x:c>
      <x:c r="J57" s="14" t="n">
        <x:v>46275.67568287037</x:v>
      </x:c>
    </x:row>
    <x:row r="58" ht="74" customHeight="1">
      <x:c r="A58" s="9" t="str">
        <x:v>RC04-B</x:v>
      </x:c>
      <x:c r="B58" s="9" t="str">
        <x:v>RC04</x:v>
      </x:c>
      <x:c r="C58" s="14" t="str">
        <x:v>The answer correctly separates the unambiguous movement by Noor from the ambiguous promised collector, and tracks the notebook to the chair seat inside the cupboard. Its three numbered points satisfy the requested form. No unsupported resolution of the pronoun or other material error appears.</x:v>
      </x:c>
      <x:c r="D58" s="14" t="str"/>
      <x:c r="E58" s="14" t="str">
        <x:v>none</x:v>
      </x:c>
      <x:c r="F58" s="14" t="str"/>
      <x:c r="G58" s="14" t="str">
        <x:v>no</x:v>
      </x:c>
      <x:c r="H58" s="14" t="str"/>
      <x:c r="I58" s="14" t="str">
        <x:v>Codex (AI)</x:v>
      </x:c>
      <x:c r="J58" s="14" t="n">
        <x:v>46275.67568287037</x:v>
      </x:c>
    </x:row>
    <x:row r="59" ht="74" customHeight="1">
      <x:c r="A59" s="9" t="str">
        <x:v>RC05-A</x:v>
      </x:c>
      <x:c r="B59" s="9" t="str">
        <x:v>RC05</x:v>
      </x:c>
      <x:c r="C59" s="14" t="str">
        <x:v>The summary preserves the shared water-saving aim, Farah’s interest in fittings plus repairs, and Milo’s repair-first position with a budget condition. It accurately reports requesting both prices and postponing purchase. It avoids the prohibited polarisation and fits 100 words; no correction is required.</x:v>
      </x:c>
      <x:c r="D59" s="14" t="str"/>
      <x:c r="E59" s="14" t="str">
        <x:v>none</x:v>
      </x:c>
      <x:c r="F59" s="14" t="str"/>
      <x:c r="G59" s="14" t="str">
        <x:v>no</x:v>
      </x:c>
      <x:c r="H59" s="14" t="str"/>
      <x:c r="I59" s="14" t="str">
        <x:v>Codex (AI)</x:v>
      </x:c>
      <x:c r="J59" s="14" t="n">
        <x:v>46275.67568287037</x:v>
      </x:c>
    </x:row>
    <x:row r="60" ht="74" customHeight="1">
      <x:c r="A60" s="9" t="str">
        <x:v>RC05-B</x:v>
      </x:c>
      <x:c r="B60" s="9" t="str">
        <x:v>RC05</x:v>
      </x:c>
      <x:c r="C60" s="14" t="str">
        <x:v>Both positions are represented with their qualifications rather than as absolute opposition. The common aim, repair-budget condition, request for both prices and postponed purchase follow the passage. The 74-word paragraph meets the task and contains no material error requiring correction.</x:v>
      </x:c>
      <x:c r="D60" s="14" t="str"/>
      <x:c r="E60" s="14" t="str">
        <x:v>none</x:v>
      </x:c>
      <x:c r="F60" s="14" t="str"/>
      <x:c r="G60" s="14" t="str">
        <x:v>no</x:v>
      </x:c>
      <x:c r="H60" s="14" t="str"/>
      <x:c r="I60" s="14" t="str">
        <x:v>Codex (AI)</x:v>
      </x:c>
      <x:c r="J60" s="14" t="n">
        <x:v>46275.67568287037</x:v>
      </x:c>
    </x:row>
    <x:row r="61" ht="74" customHeight="1">
      <x:c r="A61" s="9" t="str">
        <x:v>RC06-A</x:v>
      </x:c>
      <x:c r="B61" s="9" t="str">
        <x:v>RC06</x:v>
      </x:c>
      <x:c r="C61" s="14" t="str">
        <x:v>The answer uses the correct 20-response denominator for 75%, rejects generalisation to all 50 volunteers and rejects counting overlapping text requests as additional respondents. It accurately names the planned test and unselected participants. Three points fit 110 words; no correction is required.</x:v>
      </x:c>
      <x:c r="D61" s="14" t="str"/>
      <x:c r="E61" s="14" t="str">
        <x:v>none</x:v>
      </x:c>
      <x:c r="F61" s="14" t="str"/>
      <x:c r="G61" s="14" t="str">
        <x:v>no</x:v>
      </x:c>
      <x:c r="H61" s="14" t="str"/>
      <x:c r="I61" s="14" t="str">
        <x:v>Codex (AI)</x:v>
      </x:c>
      <x:c r="J61" s="14" t="n">
        <x:v>46275.67630787037</x:v>
      </x:c>
    </x:row>
    <x:row r="62" ht="74" customHeight="1">
      <x:c r="A62" s="9" t="str">
        <x:v>RC06-B</x:v>
      </x:c>
      <x:c r="B62" s="9" t="str">
        <x:v>RC06</x:v>
      </x:c>
      <x:c r="C62" s="14" t="str">
        <x:v>The calculation is 15/20 rather than 15/50, and the reply correctly limits what is known about nonrespondents. It preserves the possible overlap between easy-use reports and larger-text requests and describes the planned next step. Format and length comply; no material error was found.</x:v>
      </x:c>
      <x:c r="D62" s="14" t="str"/>
      <x:c r="E62" s="14" t="str">
        <x:v>none</x:v>
      </x:c>
      <x:c r="F62" s="14" t="str"/>
      <x:c r="G62" s="14" t="str">
        <x:v>no</x:v>
      </x:c>
      <x:c r="H62" s="14" t="str"/>
      <x:c r="I62" s="14" t="str">
        <x:v>Codex (AI)</x:v>
      </x:c>
      <x:c r="J62" s="14" t="n">
        <x:v>46275.67630787037</x:v>
      </x:c>
    </x:row>
    <x:row r="63" ht="74" customHeight="1">
      <x:c r="A63" s="9" t="str">
        <x:v>RC07-A</x:v>
      </x:c>
      <x:c r="B63" s="9" t="str">
        <x:v>RC07</x:v>
      </x:c>
      <x:c r="C63" s="14" t="str">
        <x:v>All four applicable details are correct: 12 October, 12:00, Room B and £6. The reply explains that the café copy predates the replacement prompted by repairs, while date and price stayed unchanged. It uses only the passage and fits 80 words; no correction is needed.</x:v>
      </x:c>
      <x:c r="D63" s="14" t="str"/>
      <x:c r="E63" s="14" t="str">
        <x:v>none</x:v>
      </x:c>
      <x:c r="F63" s="14" t="str"/>
      <x:c r="G63" s="14" t="str">
        <x:v>no</x:v>
      </x:c>
      <x:c r="H63" s="14" t="str"/>
      <x:c r="I63" s="14" t="str">
        <x:v>Codex (AI)</x:v>
      </x:c>
      <x:c r="J63" s="14" t="n">
        <x:v>46275.67667824074</x:v>
      </x:c>
    </x:row>
    <x:row r="64" ht="74" customHeight="1">
      <x:c r="A64" s="9" t="str">
        <x:v>RC07-B</x:v>
      </x:c>
      <x:c r="B64" s="9" t="str">
        <x:v>RC07</x:v>
      </x:c>
      <x:c r="C64" s="14" t="str">
        <x:v>The answer applies the 7 October replacement rather than the stale café notice, giving the correct date, time, room and price. It explains the repair reason without inventing a later change. The 49-word reply satisfies the task and contains no material error.</x:v>
      </x:c>
      <x:c r="D64" s="14" t="str"/>
      <x:c r="E64" s="14" t="str">
        <x:v>none</x:v>
      </x:c>
      <x:c r="F64" s="14" t="str"/>
      <x:c r="G64" s="14" t="str">
        <x:v>no</x:v>
      </x:c>
      <x:c r="H64" s="14" t="str"/>
      <x:c r="I64" s="14" t="str">
        <x:v>Codex (AI)</x:v>
      </x:c>
      <x:c r="J64" s="14" t="n">
        <x:v>46275.67667824074</x:v>
      </x:c>
    </x:row>
    <x:row r="65" ht="74" customHeight="1">
      <x:c r="A65" s="9" t="str">
        <x:v>RC08-A</x:v>
      </x:c>
      <x:c r="B65" s="9" t="str">
        <x:v>RC08</x:v>
      </x:c>
      <x:c r="C65" s="14" t="str">
        <x:v>The summary preserves the Monday–Thursday library-desk donation window, plant/year labels, secure homemade packaging and all three exclusions. It explicitly allows attendance without donating and does not invent opening times. At 57 words it meets the limit; no correction is needed.</x:v>
      </x:c>
      <x:c r="D65" s="14" t="str"/>
      <x:c r="E65" s="14" t="str">
        <x:v>none</x:v>
      </x:c>
      <x:c r="F65" s="14" t="str"/>
      <x:c r="G65" s="14" t="str">
        <x:v>no</x:v>
      </x:c>
      <x:c r="H65" s="14" t="str"/>
      <x:c r="I65" s="14" t="str">
        <x:v>Codex (AI)</x:v>
      </x:c>
      <x:c r="J65" s="14" t="n">
        <x:v>46275.67791666667</x:v>
      </x:c>
    </x:row>
    <x:row r="66" ht="59" customHeight="1">
      <x:c r="A66" s="9" t="str">
        <x:v>RC08-B</x:v>
      </x:c>
      <x:c r="B66" s="9" t="str">
        <x:v>RC08</x:v>
      </x:c>
      <x:c r="C66" s="14" t="str">
        <x:v>All requested operational details are present: location and days, both label fields, secure envelope rule, excluded seeds/packets and optional donations. Opening hours remain unknown. The 63-word summary is accurate and usable without correction.</x:v>
      </x:c>
      <x:c r="D66" s="14" t="str"/>
      <x:c r="E66" s="14" t="str">
        <x:v>none</x:v>
      </x:c>
      <x:c r="F66" s="14" t="str"/>
      <x:c r="G66" s="14" t="str">
        <x:v>no</x:v>
      </x:c>
      <x:c r="H66" s="14" t="str"/>
      <x:c r="I66" s="14" t="str">
        <x:v>Codex (AI)</x:v>
      </x:c>
      <x:c r="J66" s="14" t="n">
        <x:v>46275.67791666667</x:v>
      </x:c>
    </x:row>
    <x:row r="67" ht="74" customHeight="1">
      <x:c r="A67" s="9" t="str">
        <x:v>RC09-A</x:v>
      </x:c>
      <x:c r="B67" s="9" t="str">
        <x:v>RC09</x:v>
      </x:c>
      <x:c r="C67" s="14" t="str">
        <x:v>The explicit facts describe the brass key and the lock turning. The reaction is framed as a qualified inference supported by smiling and keeping the envelope; sender identity remains unresolved. Three numbered points meet the length limit and introduce no material unsupported claim.</x:v>
      </x:c>
      <x:c r="D67" s="14" t="str"/>
      <x:c r="E67" s="14" t="str">
        <x:v>none</x:v>
      </x:c>
      <x:c r="F67" s="14" t="str"/>
      <x:c r="G67" s="14" t="str">
        <x:v>no</x:v>
      </x:c>
      <x:c r="H67" s="14" t="str"/>
      <x:c r="I67" s="14" t="str">
        <x:v>Codex (AI)</x:v>
      </x:c>
      <x:c r="J67" s="14" t="n">
        <x:v>46275.67791666667</x:v>
      </x:c>
    </x:row>
    <x:row r="68" ht="74" customHeight="1">
      <x:c r="A68" s="9" t="str">
        <x:v>RC09-B</x:v>
      </x:c>
      <x:c r="B68" s="9" t="str">
        <x:v>RC09</x:v>
      </x:c>
      <x:c r="C68" s="14" t="str">
        <x:v>The reply separates explicit key/use facts from a tentative inference about personal significance, supported by the two requested details. It correctly declines to identify the sender, including the uncle. The concise three-point answer satisfies the task and needs no correction.</x:v>
      </x:c>
      <x:c r="D68" s="14" t="str"/>
      <x:c r="E68" s="14" t="str">
        <x:v>none</x:v>
      </x:c>
      <x:c r="F68" s="14" t="str"/>
      <x:c r="G68" s="14" t="str">
        <x:v>no</x:v>
      </x:c>
      <x:c r="H68" s="14" t="str"/>
      <x:c r="I68" s="14" t="str">
        <x:v>Codex (AI)</x:v>
      </x:c>
      <x:c r="J68" s="14" t="n">
        <x:v>46275.67791666667</x:v>
      </x:c>
    </x:row>
    <x:row r="69" ht="74" customHeight="1">
      <x:c r="A69" s="9" t="str">
        <x:v>RC10-A</x:v>
      </x:c>
      <x:c r="B69" s="9" t="str">
        <x:v>RC10</x:v>
      </x:c>
      <x:c r="C69" s="14" t="str">
        <x:v>All five labels follow the stated evidence convention: A is contradicted, C supported, and B/D/E not established. Reasons correctly distinguish sending from receipt, count from majority and an unannounced date from proof of no schedule. The 88-word answer needs no correction.</x:v>
      </x:c>
      <x:c r="D69" s="14" t="str"/>
      <x:c r="E69" s="14" t="str">
        <x:v>none</x:v>
      </x:c>
      <x:c r="F69" s="14" t="str"/>
      <x:c r="G69" s="14" t="str">
        <x:v>no</x:v>
      </x:c>
      <x:c r="H69" s="14" t="str"/>
      <x:c r="I69" s="14" t="str">
        <x:v>Codex (AI)</x:v>
      </x:c>
      <x:c r="J69" s="14" t="n">
        <x:v>46275.67885416667</x:v>
      </x:c>
    </x:row>
    <x:row r="70" ht="74" customHeight="1">
      <x:c r="A70" s="9" t="str">
        <x:v>RC10-B</x:v>
      </x:c>
      <x:c r="B70" s="9" t="str">
        <x:v>RC10</x:v>
      </x:c>
      <x:c r="C70" s="14" t="str">
        <x:v>The response ties each correct label to S2–S5, including the explicit sent-versus-received instruction and the lack of a registration denominator. Its final label treats missing scheduling evidence correctly rather than as contradiction. It fits 110 words; no material error appears.</x:v>
      </x:c>
      <x:c r="D70" s="14" t="str"/>
      <x:c r="E70" s="14" t="str">
        <x:v>none</x:v>
      </x:c>
      <x:c r="F70" s="14" t="str"/>
      <x:c r="G70" s="14" t="str">
        <x:v>no</x:v>
      </x:c>
      <x:c r="H70" s="14" t="str"/>
      <x:c r="I70" s="14" t="str">
        <x:v>Codex (AI)</x:v>
      </x:c>
      <x:c r="J70" s="14" t="n">
        <x:v>46275.67885416667</x:v>
      </x:c>
    </x:row>
    <x:row r="71" ht="74" customHeight="1">
      <x:c r="A71" s="9" t="str">
        <x:v>PR03-A</x:v>
      </x:c>
      <x:c r="B71" s="9" t="str">
        <x:v>PR03</x:v>
      </x:c>
      <x:c r="C71" s="14" t="str">
        <x:v>The schedule gives the exact required durations and dependencies. Automatic printing fits 13:15–13:55 and may overlap the fixed 13:30–13:40 delivery; trimming waits until the operator is free. All attended activities are disjoint, packing ends at 14:05, and spare time is unassigned. No correction is required.</x:v>
      </x:c>
      <x:c r="D71" s="14" t="str"/>
      <x:c r="E71" s="14" t="str">
        <x:v>none</x:v>
      </x:c>
      <x:c r="F71" s="14" t="str"/>
      <x:c r="G71" s="14" t="str">
        <x:v>no</x:v>
      </x:c>
      <x:c r="H71" s="14" t="str"/>
      <x:c r="I71" s="14" t="str">
        <x:v>Codex (AI)</x:v>
      </x:c>
      <x:c r="J71" s="14" t="n">
        <x:v>46275.67885416667</x:v>
      </x:c>
    </x:row>
    <x:row r="72" ht="74" customHeight="1">
      <x:c r="A72" s="9" t="str">
        <x:v>PR03-B</x:v>
      </x:c>
      <x:c r="B72" s="9" t="str">
        <x:v>PR03</x:v>
      </x:c>
      <x:c r="C72" s="14" t="str">
        <x:v>The five intervals respect every duration and ordering constraint. Only unattended printing overlaps the fixed delivery, and trimming begins after both printing and collection. All work fits the horizon, with 14:05–14:30 explicitly spare. No material constraint violation or correction need was identified.</x:v>
      </x:c>
      <x:c r="D72" s="14" t="str"/>
      <x:c r="E72" s="14" t="str">
        <x:v>none</x:v>
      </x:c>
      <x:c r="F72" s="14" t="str"/>
      <x:c r="G72" s="14" t="str">
        <x:v>no</x:v>
      </x:c>
      <x:c r="H72" s="14" t="str"/>
      <x:c r="I72" s="14" t="str">
        <x:v>Codex (AI)</x:v>
      </x:c>
      <x:c r="J72" s="14" t="n">
        <x:v>46275.6796875</x:v>
      </x:c>
    </x:row>
    <x:row r="73" ht="74" customHeight="1">
      <x:c r="A73" s="9" t="str">
        <x:v>PR04-A</x:v>
      </x:c>
      <x:c r="B73" s="9" t="str">
        <x:v>PR04</x:v>
      </x:c>
      <x:c r="C73" s="14" t="str">
        <x:v>Three shifts cannot be covered by two helpers each limited to one, and Ben cannot cover either outer shift. The permitted repair names Asha for exactly one additional shift, with Asha/Ben/Asha covering the full rota within their availability. It changes no other rule and fits 150 words; no correction is required.</x:v>
      </x:c>
      <x:c r="D73" s="14" t="str"/>
      <x:c r="E73" s="14" t="str">
        <x:v>none</x:v>
      </x:c>
      <x:c r="F73" s="14" t="str"/>
      <x:c r="G73" s="14" t="str">
        <x:v>no</x:v>
      </x:c>
      <x:c r="H73" s="14" t="str"/>
      <x:c r="I73" s="14" t="str">
        <x:v>Codex (AI)</x:v>
      </x:c>
      <x:c r="J73" s="14" t="n">
        <x:v>46275.6796875</x:v>
      </x:c>
    </x:row>
    <x:row r="74" ht="74" customHeight="1">
      <x:c r="A74" s="9" t="str">
        <x:v>PR04-B</x:v>
      </x:c>
      <x:c r="B74" s="9" t="str">
        <x:v>PR04</x:v>
      </x:c>
      <x:c r="C74" s="14" t="str">
        <x:v>The original rota is correctly shown impossible by the two-shift capacity limit. Allowing Asha a second shift is one permitted repair, and the complete Asha/Ben/Asha rota respects availability, full-hour coverage and every other rule. The answer fits 150 words and requires no correction.</x:v>
      </x:c>
      <x:c r="D74" s="14" t="str"/>
      <x:c r="E74" s="14" t="str">
        <x:v>none</x:v>
      </x:c>
      <x:c r="F74" s="14" t="str"/>
      <x:c r="G74" s="14" t="str">
        <x:v>no</x:v>
      </x:c>
      <x:c r="H74" s="14" t="str"/>
      <x:c r="I74" s="14" t="str">
        <x:v>Codex (AI)</x:v>
      </x:c>
      <x:c r="J74" s="14" t="n">
        <x:v>46275.687314814815</x:v>
      </x:c>
    </x:row>
    <x:row r="75" ht="74" customHeight="1">
      <x:c r="A75" s="9" t="str">
        <x:v>PR05-A</x:v>
      </x:c>
      <x:c r="B75" s="9" t="str">
        <x:v>PR05</x:v>
      </x:c>
      <x:c r="C75" s="14" t="str">
        <x:v>Recomputing the listed masses gives 10 kg for A/E/F and 12 kg for B/C/D. Both boxes contain exactly three indivisible items, every item appears once, A and B are apart and E/F together. The explicit checks cover all constraints; no material error or correction need was found.</x:v>
      </x:c>
      <x:c r="D75" s="14" t="str"/>
      <x:c r="E75" s="14" t="str">
        <x:v>none</x:v>
      </x:c>
      <x:c r="F75" s="14" t="str"/>
      <x:c r="G75" s="14" t="str">
        <x:v>no</x:v>
      </x:c>
      <x:c r="H75" s="14" t="str"/>
      <x:c r="I75" s="14" t="str">
        <x:v>Codex (AI)</x:v>
      </x:c>
      <x:c r="J75" s="14" t="n">
        <x:v>46275.687314814815</x:v>
      </x:c>
    </x:row>
    <x:row r="76" ht="74" customHeight="1">
      <x:c r="A76" s="9" t="str">
        <x:v>PR05-B</x:v>
      </x:c>
      <x:c r="B76" s="9" t="str">
        <x:v>PR05</x:v>
      </x:c>
      <x:c r="C76" s="14" t="str">
        <x:v>The proposed A/E/F and B/C/D partition has the correct totals of 10 kg and 12 kg. It uses two boxes and all six items exactly once, respects both count and mass capacities, separates A/B and keeps E/F together. The brief explanation is complete and usable without correction.</x:v>
      </x:c>
      <x:c r="D76" s="14" t="str"/>
      <x:c r="E76" s="14" t="str">
        <x:v>none</x:v>
      </x:c>
      <x:c r="F76" s="14" t="str"/>
      <x:c r="G76" s="14" t="str">
        <x:v>no</x:v>
      </x:c>
      <x:c r="H76" s="14" t="str"/>
      <x:c r="I76" s="14" t="str">
        <x:v>Codex (AI)</x:v>
      </x:c>
      <x:c r="J76" s="14" t="n">
        <x:v>46275.687314814815</x:v>
      </x:c>
    </x:row>
    <x:row r="77" ht="74" customHeight="1">
      <x:c r="A77" s="9" t="str">
        <x:v>PR06-A</x:v>
      </x:c>
      <x:c r="B77" s="9" t="str">
        <x:v>PR06</x:v>
      </x:c>
      <x:c r="C77" s="14" t="str">
        <x:v>Enumerating the timetable confirms S1→T2 is the sole feasible pair: its 25-minute transfer exceeds 12 minutes and 10:15 arrival meets the deadline. T1 connections wait too little or depart before arrival, and T3 arrives too late. The listed pair is therefore also the latest feasible Brook departure; no correction is needed.</x:v>
      </x:c>
      <x:c r="D77" s="14" t="str"/>
      <x:c r="E77" s="14" t="str">
        <x:v>none</x:v>
      </x:c>
      <x:c r="F77" s="14" t="str"/>
      <x:c r="G77" s="14" t="str">
        <x:v>no</x:v>
      </x:c>
      <x:c r="H77" s="14" t="str"/>
      <x:c r="I77" s="14" t="str">
        <x:v>Codex (AI)</x:v>
      </x:c>
      <x:c r="J77" s="14" t="n">
        <x:v>46275.69001157407</x:v>
      </x:c>
    </x:row>
    <x:row r="78" ht="74" customHeight="1">
      <x:c r="A78" s="9" t="str">
        <x:v>PR06-B</x:v>
      </x:c>
      <x:c r="B78" s="9" t="str">
        <x:v>PR06</x:v>
      </x:c>
      <x:c r="C78" s="14" t="str">
        <x:v>The sole listed S1→T2 pair has a 25-minute transfer and reaches the museum at 10:15. Exhaustive timetable checking rules out the other pairs because of transfer time, departed trains or T3’s late arrival. Its 09:00 Brook departure is therefore also latest feasible. No correction is needed.</x:v>
      </x:c>
      <x:c r="D78" s="14" t="str"/>
      <x:c r="E78" s="14" t="str">
        <x:v>none</x:v>
      </x:c>
      <x:c r="F78" s="14" t="str"/>
      <x:c r="G78" s="14" t="str">
        <x:v>no</x:v>
      </x:c>
      <x:c r="H78" s="14" t="str"/>
      <x:c r="I78" s="14" t="str">
        <x:v>Codex (AI)</x:v>
      </x:c>
      <x:c r="J78" s="14" t="n">
        <x:v>46275.6908912037</x:v>
      </x:c>
    </x:row>
    <x:row r="79" ht="74" customHeight="1">
      <x:c r="A79" s="9" t="str">
        <x:v>PR07-A</x:v>
      </x:c>
      <x:c r="B79" s="9" t="str">
        <x:v>PR07</x:v>
      </x:c>
      <x:c r="C79" s="14" t="str">
        <x:v>The job sequence J2/J3/J1/J4 follows readiness and lowest-numbered priority at each completion. Durations produce 09:15, 09:25, 09:45 and 09:50 boundaries with no gaps or overlap. The requested explanation correctly prefers newly ready J3 over J1 after J2. No material error was found.</x:v>
      </x:c>
      <x:c r="D79" s="14" t="str"/>
      <x:c r="E79" s="14" t="str">
        <x:v>none</x:v>
      </x:c>
      <x:c r="F79" s="14" t="str"/>
      <x:c r="G79" s="14" t="str">
        <x:v>no</x:v>
      </x:c>
      <x:c r="H79" s="14" t="str"/>
      <x:c r="I79" s="14" t="str">
        <x:v>Codex (AI)</x:v>
      </x:c>
      <x:c r="J79" s="14" t="n">
        <x:v>46275.6908912037</x:v>
      </x:c>
    </x:row>
    <x:row r="80" ht="74" customHeight="1">
      <x:c r="A80" s="9" t="str">
        <x:v>PR07-B</x:v>
      </x:c>
      <x:c r="B80" s="9" t="str">
        <x:v>PR07</x:v>
      </x:c>
      <x:c r="C80" s="14" t="str">
        <x:v>The chronological intervals exactly implement J2 then J3 then J1 then J4, preserving all durations and prerequisites without idle time. The explanation correctly compares J3 priority1 with J1 priority2 after J2 completes. The answer satisfies the requested schedule and needs no correction.</x:v>
      </x:c>
      <x:c r="D80" s="14" t="str"/>
      <x:c r="E80" s="14" t="str">
        <x:v>none</x:v>
      </x:c>
      <x:c r="F80" s="14" t="str"/>
      <x:c r="G80" s="14" t="str">
        <x:v>no</x:v>
      </x:c>
      <x:c r="H80" s="14" t="str"/>
      <x:c r="I80" s="14" t="str">
        <x:v>Codex (AI)</x:v>
      </x:c>
      <x:c r="J80" s="14" t="n">
        <x:v>46275.691666666666</x:v>
      </x:c>
    </x:row>
    <x:row r="81" ht="89" customHeight="1">
      <x:c r="A81" s="9" t="str">
        <x:v>PR08-A</x:v>
      </x:c>
      <x:c r="B81" s="9" t="str">
        <x:v>PR08</x:v>
      </x:c>
      <x:c r="C81" s="14" t="str">
        <x:v>Arden is the only confirmed qualifying choice. Bracken is cheaper and meets the known constraints but its matte surface remains unknown; the answer requests exactly that check and conditions the recommendation on the result. Clover and Dune are excluded for the correct reasons. It fits 130 words and claims no supplier contact or purchase; no correction is needed.</x:v>
      </x:c>
      <x:c r="D81" s="14" t="str"/>
      <x:c r="E81" s="14" t="str">
        <x:v>none</x:v>
      </x:c>
      <x:c r="F81" s="14" t="str"/>
      <x:c r="G81" s="14" t="str">
        <x:v>no</x:v>
      </x:c>
      <x:c r="H81" s="14" t="str"/>
      <x:c r="I81" s="14" t="str">
        <x:v>Codex (AI)</x:v>
      </x:c>
      <x:c r="J81" s="14" t="n">
        <x:v>46275.691666666666</x:v>
      </x:c>
    </x:row>
    <x:row r="82" ht="89" customHeight="1">
      <x:c r="A82" s="9" t="str">
        <x:v>PR08-B</x:v>
      </x:c>
      <x:c r="B82" s="9" t="str">
        <x:v>PR08</x:v>
      </x:c>
      <x:c r="C82" s="14" t="str">
        <x:v>The response identifies Arden as confirmed at £90 and Bracken as the possible cheaper choice, correctly treating the unknown matte finish as unresolved. Its next step checks exactly that property and conditions selection on confirmation. Other exclusions are accurate, the reply fits 130 words and no action is falsely claimed. No correction is required.</x:v>
      </x:c>
      <x:c r="D82" s="14" t="str"/>
      <x:c r="E82" s="14" t="str">
        <x:v>none</x:v>
      </x:c>
      <x:c r="F82" s="14" t="str"/>
      <x:c r="G82" s="14" t="str">
        <x:v>no</x:v>
      </x:c>
      <x:c r="H82" s="14" t="str"/>
      <x:c r="I82" s="14" t="str">
        <x:v>Codex (AI)</x:v>
      </x:c>
      <x:c r="J82" s="14" t="n">
        <x:v>46275.69206018518</x:v>
      </x:c>
    </x:row>
    <x:row r="83" ht="74" customHeight="1">
      <x:c r="A83" s="9" t="str">
        <x:v>PR09-A</x:v>
      </x:c>
      <x:c r="B83" s="9" t="str">
        <x:v>PR09</x:v>
      </x:c>
      <x:c r="C83" s="14" t="str">
        <x:v>For 18 kits, needs are 36/54/18 and shortfalls are 27/34/13. Rounding those shortfalls up in packs of 10/25/8 gives the minimal 3/2/2 packs, leaving 3/16/3 items. The table has every requested column and the workings justify minimum whole-pack purchases; no correction is needed.</x:v>
      </x:c>
      <x:c r="D83" s="14" t="str"/>
      <x:c r="E83" s="14" t="str">
        <x:v>none</x:v>
      </x:c>
      <x:c r="F83" s="14" t="str"/>
      <x:c r="G83" s="14" t="str">
        <x:v>no</x:v>
      </x:c>
      <x:c r="H83" s="14" t="str"/>
      <x:c r="I83" s="14" t="str">
        <x:v>Codex (AI)</x:v>
      </x:c>
      <x:c r="J83" s="14" t="n">
        <x:v>46275.69206018518</x:v>
      </x:c>
    </x:row>
    <x:row r="84" ht="74" customHeight="1">
      <x:c r="A84" s="9" t="str">
        <x:v>PR09-B</x:v>
      </x:c>
      <x:c r="B84" s="9" t="str">
        <x:v>PR09</x:v>
      </x:c>
      <x:c r="C84" s="14" t="str">
        <x:v>The table correctly reports total needs, stock, minimal pack counts and leftovers for all three supplies. Ceiling calculations use the correct shortfall and pack size, and the leftover formula reconciles each row. The requested table and explanation are complete; no material error was found.</x:v>
      </x:c>
      <x:c r="D84" s="14" t="str"/>
      <x:c r="E84" s="14" t="str">
        <x:v>none</x:v>
      </x:c>
      <x:c r="F84" s="14" t="str"/>
      <x:c r="G84" s="14" t="str">
        <x:v>no</x:v>
      </x:c>
      <x:c r="H84" s="14" t="str"/>
      <x:c r="I84" s="14" t="str">
        <x:v>Codex (AI)</x:v>
      </x:c>
      <x:c r="J84" s="14" t="n">
        <x:v>46275.69206018518</x:v>
      </x:c>
    </x:row>
    <x:row r="85" ht="74" customHeight="1">
      <x:c r="A85" s="9" t="str">
        <x:v>PR10-A</x:v>
      </x:c>
      <x:c r="B85" s="9" t="str">
        <x:v>PR10</x:v>
      </x:c>
      <x:c r="C85" s="14" t="str">
        <x:v>The UTC conversions correctly give a shared 09:45–10:00 interval, too short for 30 minutes. Sana prevents an earlier start, so Maya must extend to 10:15; the minimum extension is exactly15 minutes. The resulting UTC and all three local intervals are correct and within the permitted boundaries. No correction is needed.</x:v>
      </x:c>
      <x:c r="D85" s="14" t="str"/>
      <x:c r="E85" s="14" t="str">
        <x:v>none</x:v>
      </x:c>
      <x:c r="F85" s="14" t="str"/>
      <x:c r="G85" s="14" t="str">
        <x:v>no</x:v>
      </x:c>
      <x:c r="H85" s="14" t="str"/>
      <x:c r="I85" s="14" t="str">
        <x:v>Codex (AI)</x:v>
      </x:c>
      <x:c r="J85" s="14" t="n">
        <x:v>46275.69261574074</x:v>
      </x:c>
    </x:row>
    <x:row r="86" ht="74" customHeight="1">
      <x:c r="A86" s="9" t="str">
        <x:v>PR10-B</x:v>
      </x:c>
      <x:c r="B86" s="9" t="str">
        <x:v>PR10</x:v>
      </x:c>
      <x:c r="C86" s="14" t="str">
        <x:v>The response converts Luis and Sana correctly, identifies the original15-minute overlap and explains why extending Maya by15 minutes is both necessary and sufficient. Its final09:45–10:15 UTC call maps to06:45–07:15 for Luis and11:45–12:15 for Sana. No starting time is changed and no material error appears.</x:v>
      </x:c>
      <x:c r="D86" s="14" t="str"/>
      <x:c r="E86" s="14" t="str">
        <x:v>none</x:v>
      </x:c>
      <x:c r="F86" s="14" t="str"/>
      <x:c r="G86" s="14" t="str">
        <x:v>no</x:v>
      </x:c>
      <x:c r="H86" s="14" t="str"/>
      <x:c r="I86" s="14" t="str">
        <x:v>Codex (AI)</x:v>
      </x:c>
      <x:c r="J86" s="14" t="n">
        <x:v>46275.69261574074</x:v>
      </x:c>
    </x:row>
  </x:sheetData>
  <x:dataValidations count="1">
    <x:dataValidation type="list" sqref="G7:G86">
      <x:formula1>"yes,no"</x:formula1>
    </x:dataValidation>
  </x:dataValidations>
  <x:pageMargins left="0.7" right="0.7" top="0.75" bottom="0.75" header="0.3" footer="0.3"/>
  <x:tableParts count="1">
    <x:tablePart xmlns:r="http://schemas.openxmlformats.org/officeDocument/2006/relationships" r:id="Rb4a9898be616419d"/>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12" hidden="0" customWidth="1"/>
    <x:col min="3" max="3" width="115" hidden="0" customWidth="1"/>
    <x:col min="4" max="4" width="120" hidden="0" customWidth="1"/>
    <x:col min="5" max="5" width="115" hidden="0" customWidth="1"/>
    <x:col min="6" max="6" width="85" hidden="0" customWidth="1"/>
    <x:col min="7" max="7" width="35" hidden="0" customWidth="1"/>
    <x:col min="8" max="8" width="70" hidden="0" customWidth="1"/>
  </x:cols>
  <x:sheetData>
    <x:row r="1">
      <x:c r="A1" s="2"/>
      <x:c r="B1" s="2"/>
      <x:c r="C1" s="2"/>
      <x:c r="D1" s="2"/>
      <x:c r="E1" s="2"/>
      <x:c r="F1" s="2"/>
      <x:c r="G1" s="2"/>
      <x:c r="H1" s="2"/>
    </x:row>
    <x:row r="2" ht="28" customHeight="1">
      <x:c r="A2" s="3" t="str">
        <x:v>Original candidate records</x:v>
      </x:c>
      <x:c r="B2" s="2"/>
      <x:c r="C2" s="2"/>
      <x:c r="D2" s="2"/>
      <x:c r="E2" s="2"/>
      <x:c r="F2" s="2"/>
      <x:c r="G2" s="2"/>
      <x:c r="H2" s="2"/>
    </x:row>
    <x:row r="3">
      <x:c r="A3" s="4"/>
      <x:c r="B3" s="4"/>
      <x:c r="C3" s="4"/>
      <x:c r="D3" s="4"/>
      <x:c r="E3" s="4"/>
      <x:c r="F3" s="4"/>
      <x:c r="G3" s="4"/>
      <x:c r="H3" s="4"/>
    </x:row>
    <x:row r="4" ht="25" customHeight="1">
      <x:c r="A4" s="2" t="str">
        <x:v>Source: saved tasks, replies and provenance. Blank lines are compacted here; raw URLs point to unchanged reply files.</x:v>
      </x:c>
      <x:c r="B4" s="2"/>
      <x:c r="C4" s="2"/>
      <x:c r="D4" s="2"/>
      <x:c r="E4" s="2"/>
      <x:c r="F4" s="2"/>
      <x:c r="G4" s="2"/>
      <x:c r="H4" s="2"/>
    </x:row>
    <x:row r="5">
      <x:c r="A5" s="2"/>
      <x:c r="B5" s="2"/>
      <x:c r="C5" s="2"/>
      <x:c r="D5" s="2"/>
      <x:c r="E5" s="2"/>
      <x:c r="F5" s="2"/>
      <x:c r="G5" s="2"/>
      <x:c r="H5" s="2"/>
    </x:row>
    <x:row r="6" ht="42" customHeight="1">
      <x:c r="A6" s="8" t="str">
        <x:v>Response ID</x:v>
      </x:c>
      <x:c r="B6" s="8" t="str">
        <x:v>Task ID</x:v>
      </x:c>
      <x:c r="C6" s="8" t="str">
        <x:v>Task prompt</x:v>
      </x:c>
      <x:c r="D6" s="8" t="str">
        <x:v>Candidate text</x:v>
      </x:c>
      <x:c r="E6" s="8" t="str">
        <x:v>AI-checked reference</x:v>
      </x:c>
      <x:c r="F6" s="8" t="str">
        <x:v>Raw reply URL</x:v>
      </x:c>
      <x:c r="G6" s="8" t="str">
        <x:v>Recorded model</x:v>
      </x:c>
      <x:c r="H6" s="8" t="str">
        <x:v>Reply SHA-256</x:v>
      </x:c>
    </x:row>
    <x:row r="7" ht="284" customHeight="1">
      <x:c r="A7" s="9" t="str">
        <x:v>MP01-A</x:v>
      </x:c>
      <x:c r="B7" s="9" t="str">
        <x:v>MP01</x:v>
      </x:c>
      <x:c r="C7" s="14" t="str">
        <x:v>A park ranger drives an electric cart 600 metres at a constant speed of 4.0 m/s, stops for 90 seconds, and then drives another 900 metres at a constant speed of 6.0 m/s. Ignore acceleration and braking time.
Calculate the average speed for the entire journey, including the stop, in m/s and km/h. Show your working and round both final speeds to two decimal places.</x:v>
      </x:c>
      <x:c r="D7" s="14" t="str">
        <x:v>Time for each driving segment:
\[
t_1=\frac{600}{4.0}=150\text{ s},\qquad
t_2=\frac{900}{6.0}=150\text{ s}
\]
Including the stop, total time is:
\[
150+90+150=390\text{ s}
\]
Average speed is total distance divided by total time:
\[
v_{\text{avg}}=\frac{600+900}{390}=3.846153\ldots\text{ m/s}
\]
Converting to km/h:
\[
3.846153\ldots\times3.6=13.846153\ldots\text{ km/h}
\]
**Average speed: 3.85 m/s, or 13.85 km/h.**</x:v>
      </x:c>
      <x:c r="E7" s="14" t="str">
        <x:v>The first leg takes 600 ÷ 4.0 = 150 seconds. The second takes 900 ÷ 6.0 = 150 seconds. Total distance = 600 + 900 = 1,500 metres. Total elapsed time = 150 + 90 + 150 = 390 seconds. Average speed = 1,500 ÷ 390 = 3.846153… m/s, or 3.85 m/s to two decimal places. Converting the unrounded value: (1,500 ÷ 390) × 3.6 = 13.846153… km/h, or 13.85 km/h.</x:v>
      </x:c>
      <x:c r="F7" s="14" t="str">
        <x:v>https://github.com/sunhero-7/ai-answer-quality-audit/blob/main/04_responses/raw/MP01-A.txt</x:v>
      </x:c>
      <x:c r="G7" s="14" t="str">
        <x:v>Codex agent; underlying model identifier not exposed</x:v>
      </x:c>
      <x:c r="H7" s="14" t="str">
        <x:v>e65a3c49d83c571346ebcd36d70e305c8a23f5172a44aa4141b5a4c04169163a</x:v>
      </x:c>
    </x:row>
    <x:row r="8" ht="254" customHeight="1">
      <x:c r="A8" s="9" t="str">
        <x:v>MP01-B</x:v>
      </x:c>
      <x:c r="B8" s="9" t="str">
        <x:v>MP01</x:v>
      </x:c>
      <x:c r="C8" s="14" t="str">
        <x:v>A park ranger drives an electric cart 600 metres at a constant speed of 4.0 m/s, stops for 90 seconds, and then drives another 900 metres at a constant speed of 6.0 m/s. Ignore acceleration and braking time.
Calculate the average speed for the entire journey, including the stop, in m/s and km/h. Show your working and round both final speeds to two decimal places.</x:v>
      </x:c>
      <x:c r="D8" s="14" t="str">
        <x:v>Time spent driving:
\[
t_1=\frac{600}{4.0}=150\text{ s},\qquad
t_2=\frac{900}{6.0}=150\text{ s}
\]
Including the stop, total time is \(150+90+150=390\text{ s}\).
Total distance is \(600+900=1500\text{ m}\).
\[
\text{Average speed}=\frac{1500}{390}=3.84615\ldots
=\boxed{3.85\text{ m/s}}
\]
Converting the unrounded value to km/h:
\[
\frac{1500}{390}\times3.6=13.84615\ldots
=\boxed{13.85\text{ km/h}}
\]</x:v>
      </x:c>
      <x:c r="E8" s="14" t="str">
        <x:v>The first leg takes 600 ÷ 4.0 = 150 seconds. The second takes 900 ÷ 6.0 = 150 seconds. Total distance = 600 + 900 = 1,500 metres. Total elapsed time = 150 + 90 + 150 = 390 seconds. Average speed = 1,500 ÷ 390 = 3.846153… m/s, or 3.85 m/s to two decimal places. Converting the unrounded value: (1,500 ÷ 390) × 3.6 = 13.846153… km/h, or 13.85 km/h.</x:v>
      </x:c>
      <x:c r="F8" s="14" t="str">
        <x:v>https://github.com/sunhero-7/ai-answer-quality-audit/blob/main/04_responses/raw/MP01-B.txt</x:v>
      </x:c>
      <x:c r="G8" s="14" t="str">
        <x:v>Codex agent; underlying model identifier not exposed</x:v>
      </x:c>
      <x:c r="H8" s="14" t="str">
        <x:v>775ae62280a215fa2651b2eb1e7c254a08a06639de4d2b888b9a94582a5a98aa</x:v>
      </x:c>
    </x:row>
    <x:row r="9" ht="164" customHeight="1">
      <x:c r="A9" s="9" t="str">
        <x:v>MP02-A</x:v>
      </x:c>
      <x:c r="B9" s="9" t="str">
        <x:v>MP02</x:v>
      </x:c>
      <x:c r="C9" s="14" t="str">
        <x:v>A workshop needs to move the same loaded trolley from the floor to a platform 1 metre higher. It can use a straight ramp 2 metres long or a straight ramp 4 metres long. On either ramp, a worker pushes parallel to the slope and moves the trolley at the same constant speed. Assume friction and rolling resistance are negligible, and ignore starting and stopping.
A colleague says, “The longer ramp takes less effort, so the worker transfers less energy to the trolley.” Explain whether this statement is right and what “effort” could mean here. Use simple physics, state any qualification that matters, and keep your answer under 150 words.</x:v>
      </x:c>
      <x:c r="D9" s="14" t="str">
        <x:v>The statement is partly right: the longer ramp requires less pushing force, but the worker does the same mechanical work.
For a trolley of mass \(m\), the required force is \(F=mgh/L\). Doubling the ramp length from 2 m to 4 m halves this force. However, the worker pushes through twice the distance, so the work is unchanged: \(W=FL=mgh\).
At the same speed, the longer ramp also requires half the mechanical power, but takes twice as long.
So “effort” could mean force or power, both of which are lower on the longer ramp. It does not mean less mechanical energy transferred. The trolley–Earth system gains the same gravitational potential energy, while the trolley’s kinetic energy stays constant. The worker’s bodily energy expenditure cannot be determined from this ideal model alone.</x:v>
      </x:c>
      <x:c r="E9" s="14" t="str">
        <x:v>“Effort” is ambiguous. If it means pushing force, the longer ramp requires half as much: at constant speed the force along the slope balances the downhill component of weight, F = mgh/L. Both ramps raise the same trolley through the same height, so the work transferred by the worker is the same, mgh. The longer ramp halves the force but doubles the distance. At the same speed it also takes twice as long. The claim of less transferred energy is therefore incorrect under the stated ideal assumptions. Human tiredness or energy used by the worker’s body cannot be determined from this simple mechanical model.</x:v>
      </x:c>
      <x:c r="F9" s="14" t="str">
        <x:v>https://github.com/sunhero-7/ai-answer-quality-audit/blob/main/04_responses/raw/MP02-A.txt</x:v>
      </x:c>
      <x:c r="G9" s="14" t="str">
        <x:v>Codex agent; underlying model identifier not exposed</x:v>
      </x:c>
      <x:c r="H9" s="14" t="str">
        <x:v>8c3a476644356c9a9717702195eb1944e4d6f9033fe5243262a3a2014aab67fe</x:v>
      </x:c>
    </x:row>
    <x:row r="10" ht="179" customHeight="1">
      <x:c r="A10" s="9" t="str">
        <x:v>MP02-B</x:v>
      </x:c>
      <x:c r="B10" s="9" t="str">
        <x:v>MP02</x:v>
      </x:c>
      <x:c r="C10" s="14" t="str">
        <x:v>A workshop needs to move the same loaded trolley from the floor to a platform 1 metre higher. It can use a straight ramp 2 metres long or a straight ramp 4 metres long. On either ramp, a worker pushes parallel to the slope and moves the trolley at the same constant speed. Assume friction and rolling resistance are negligible, and ignore starting and stopping.
A colleague says, “The longer ramp takes less effort, so the worker transfers less energy to the trolley.” Explain whether this statement is right and what “effort” could mean here. Use simple physics, state any qualification that matters, and keep your answer under 150 words.</x:v>
      </x:c>
      <x:c r="D10" s="14" t="str">
        <x:v>The statement is right if “less effort” means a smaller pushing force, but wrong if it means less mechanical energy transferred.
At constant speed, the push balances gravity’s component down the slope: \(F=mg(h/L)\). The 4-metre ramp therefore needs half the force of the 2-metre ramp.
However, the worker pushes through twice the distance. The work done is \(W=FL=mgh\), so both routes transfer the same energy and produce the same gain in gravitational potential energy. The trolley’s kinetic energy stays constant.
At the same speed along each ramp, the longer ramp takes twice as long and requires half the mechanical power.
“Effort” could also mean fatigue or the worker’s bodily energy expenditure. Those depend on human physiology and cannot be determined from this idealised mechanical model.</x:v>
      </x:c>
      <x:c r="E10" s="14" t="str">
        <x:v>“Effort” is ambiguous. If it means pushing force, the longer ramp requires half as much: at constant speed the force along the slope balances the downhill component of weight, F = mgh/L. Both ramps raise the same trolley through the same height, so the work transferred by the worker is the same, mgh. The longer ramp halves the force but doubles the distance. At the same speed it also takes twice as long. The claim of less transferred energy is therefore incorrect under the stated ideal assumptions. Human tiredness or energy used by the worker’s body cannot be determined from this simple mechanical model.</x:v>
      </x:c>
      <x:c r="F10" s="14" t="str">
        <x:v>https://github.com/sunhero-7/ai-answer-quality-audit/blob/main/04_responses/raw/MP02-B.txt</x:v>
      </x:c>
      <x:c r="G10" s="14" t="str">
        <x:v>Codex agent; underlying model identifier not exposed</x:v>
      </x:c>
      <x:c r="H10" s="14" t="str">
        <x:v>fa1b8e1125eec22d914e5dc7f3599c5f60227b0b316311bb0dff203d44a69bc5</x:v>
      </x:c>
    </x:row>
    <x:row r="11" ht="284" customHeight="1">
      <x:c r="A11" s="9" t="str">
        <x:v>CS01-A</x:v>
      </x:c>
      <x:c r="B11" s="9" t="str">
        <x:v>CS01</x:v>
      </x:c>
      <x:c r="C11" s="14" t="str">
        <x:v>Use only this fictional Lark Desk Co policy:
[P1] Customers may request a change-of-mind return within 30 calendar days after delivery. The item must be unused and undamaged.
[P2] Before sending an item back, the customer must email support with the order number and a photo showing the item's current condition. Support then supplies a return authorisation and return address.
[P3] The original carton is preferred but not required. The customer must pack the item securely.
[P4] The customer pays return postage. The original standard delivery charge is not refunded for a change-of-mind return.
[P5] After the returned item has been received and inspected, the eligible item price is refunded to the original payment method within five business days.
Customer message: “My lamp arrived 18 days ago. It is unused and undamaged, but I threw away the carton. I paid £36 for the lamp and £4 for standard delivery. Can I return it and get all £40 back? Where should I send it?”
Draft a helpful customer-facing reply of no more than 130 words. You have no access to the customer's order or any address beyond the policy above.</x:v>
      </x:c>
      <x:c r="D11" s="14" t="str">
        <x:v>Yes—you can request a return, as your lamp arrived 18 days ago and is unused and undamaged. Returns must be requested within 30 calendar days of delivery.
It’s fine that you no longer have the original carton; please pack the lamp securely.
The eligible refund is £36 for the lamp. The £4 standard delivery charge isn’t refundable for a change-of-mind return, and you’ll need to pay return postage.
Before sending it back, please email support with your order number and a photo showing the lamp’s current condition. Support will provide your return authorisation and the return address.
Once the lamp is received and inspected, the eligible refund will go to your original payment method within five business days.</x:v>
      </x:c>
      <x:c r="E11" s="14" t="str">
        <x:v>You can request a return: the lamp is within the 30-day window and you say it is unused and undamaged. The original carton is not required, but please pack it securely. The eligible refund is £36 for the lamp; the £4 standard delivery charge is not refundable, and you pay return postage. Before sending it, email support with your order number and a photo showing its condition. Support will provide the return authorisation and address. After receipt and inspection, the eligible refund goes to your original payment method within five business days.</x:v>
      </x:c>
      <x:c r="F11" s="14" t="str">
        <x:v>https://github.com/sunhero-7/ai-answer-quality-audit/blob/main/04_responses/raw/CS01-A.txt</x:v>
      </x:c>
      <x:c r="G11" s="14" t="str">
        <x:v>Codex agent; underlying model identifier not exposed</x:v>
      </x:c>
      <x:c r="H11" s="14" t="str">
        <x:v>f049e2af8b3ce42ee3e509d62026464f2bdf33b6b97b5c5a3d2012a7a4a8b03b</x:v>
      </x:c>
    </x:row>
    <x:row r="12" ht="284" customHeight="1">
      <x:c r="A12" s="9" t="str">
        <x:v>CS01-B</x:v>
      </x:c>
      <x:c r="B12" s="9" t="str">
        <x:v>CS01</x:v>
      </x:c>
      <x:c r="C12" s="14" t="str">
        <x:v>Use only this fictional Lark Desk Co policy:
[P1] Customers may request a change-of-mind return within 30 calendar days after delivery. The item must be unused and undamaged.
[P2] Before sending an item back, the customer must email support with the order number and a photo showing the item's current condition. Support then supplies a return authorisation and return address.
[P3] The original carton is preferred but not required. The customer must pack the item securely.
[P4] The customer pays return postage. The original standard delivery charge is not refunded for a change-of-mind return.
[P5] After the returned item has been received and inspected, the eligible item price is refunded to the original payment method within five business days.
Customer message: “My lamp arrived 18 days ago. It is unused and undamaged, but I threw away the carton. I paid £36 for the lamp and £4 for standard delivery. Can I return it and get all £40 back? Where should I send it?”
Draft a helpful customer-facing reply of no more than 130 words. You have no access to the customer's order or any address beyond the policy above.</x:v>
      </x:c>
      <x:c r="D12" s="14" t="str">
        <x:v>Yes, you can request a change-of-mind return: your lamp arrived 18 days ago and is unused and undamaged, so it meets the conditions. Please make your request within 30 calendar days of delivery.
You don’t need the original carton, but please pack the lamp securely.
The refundable amount is £36, rather than the full £40. The £4 standard delivery charge isn’t refunded, and you’ll pay return postage.
Before sending it back, email support with your order number and a photo showing the lamp’s current condition. Support will provide a return authorisation and the return address.
Once the lamp is received and inspected, the eligible £36 refund will go to your original payment method within five business days.</x:v>
      </x:c>
      <x:c r="E12" s="14" t="str">
        <x:v>You can request a return: the lamp is within the 30-day window and you say it is unused and undamaged. The original carton is not required, but please pack it securely. The eligible refund is £36 for the lamp; the £4 standard delivery charge is not refundable, and you pay return postage. Before sending it, email support with your order number and a photo showing its condition. Support will provide the return authorisation and address. After receipt and inspection, the eligible refund goes to your original payment method within five business days.</x:v>
      </x:c>
      <x:c r="F12" s="14" t="str">
        <x:v>https://github.com/sunhero-7/ai-answer-quality-audit/blob/main/04_responses/raw/CS01-B.txt</x:v>
      </x:c>
      <x:c r="G12" s="14" t="str">
        <x:v>Codex agent; underlying model identifier not exposed</x:v>
      </x:c>
      <x:c r="H12" s="14" t="str">
        <x:v>d454bfee7f75d95b1ddf70cbdf677cf61fa1e4271544a5a5d870fb4c0c68454a</x:v>
      </x:c>
    </x:row>
    <x:row r="13" ht="284" customHeight="1">
      <x:c r="A13" s="9" t="str">
        <x:v>CS02-A</x:v>
      </x:c>
      <x:c r="B13" s="9" t="str">
        <x:v>CS02</x:v>
      </x:c>
      <x:c r="C13" s="14" t="str">
        <x:v>Use only this fictional Harbour Tool Hire policy:
[P1] The published depot collection hours are Monday–Friday 09:00–18:00 and Saturday 09:00–13:00. This extract does not list Sunday hours.
[P2] A request to change a collection date must be received before 16:00 on the day before the original collection date. Any change is subject to depot opening hours and equipment availability; submitting a request does not confirm a change.
[P3] A cancellation request received before 16:00 on the day before the original collection date incurs no charge. Later cancellation requests incur a fee equal to one day's hire. The time the request is received determines the fee, even if staff process it later.
[P4] Support must check opening hours and equipment availability before confirming a date change.
It is Thursday at 15:30. Customer message: “I am booked to collect a drill tomorrow, Friday. Please move my pickup to Sunday. If Sunday collection is unavailable, please cancel the booking instead. Would there be a cancellation fee?” Assume this message is received immediately.
Draft a customer-facing reply of no more than 150 words. You have only the policy extract, with no access to opening-hours checks, availability checks or booking actions.</x:v>
      </x:c>
      <x:c r="D13" s="14" t="str">
        <x:v>Your request arrived at 15:30 on Thursday, before the 16:00 deadline for your original Friday collection. If Sunday collection is unavailable, your cancellation request qualifies for **no cancellation fee**, even if staff process it after the deadline.
Sunday collection isn’t confirmed. The published hours provided don’t list Sunday, so support must check Sunday opening hours and drill availability before confirming a change.
I don’t have access to those checks or booking actions, so I can’t confirm a move to Sunday or a cancellation.</x:v>
      </x:c>
      <x:c r="E13" s="14" t="str">
        <x:v>Your request arrived at 15:30 on Thursday, before the 16:00 deadline for Friday’s booking. A move to Sunday still needs confirmation of the depot’s Sunday hours and drill availability; this extract does not confirm whether Sunday collection is possible. If Sunday collection is unavailable, your cancellation request qualifies for no charge because it was received before the deadline, even if processed later. The next step is for support to check Sunday collection and then confirm the change or cancellation. I cannot confirm a booking change or cancellation from the policy alone.</x:v>
      </x:c>
      <x:c r="F13" s="14" t="str">
        <x:v>https://github.com/sunhero-7/ai-answer-quality-audit/blob/main/04_responses/raw/CS02-A.txt</x:v>
      </x:c>
      <x:c r="G13" s="14" t="str">
        <x:v>Codex agent; underlying model identifier not exposed</x:v>
      </x:c>
      <x:c r="H13" s="14" t="str">
        <x:v>826d8553913262bef54f90ef74630ac57ac1f44bb8da32da90d75c15b6ac880e</x:v>
      </x:c>
    </x:row>
    <x:row r="14" ht="284" customHeight="1">
      <x:c r="A14" s="9" t="str">
        <x:v>CS02-B</x:v>
      </x:c>
      <x:c r="B14" s="9" t="str">
        <x:v>CS02</x:v>
      </x:c>
      <x:c r="C14" s="14" t="str">
        <x:v>Use only this fictional Harbour Tool Hire policy:
[P1] The published depot collection hours are Monday–Friday 09:00–18:00 and Saturday 09:00–13:00. This extract does not list Sunday hours.
[P2] A request to change a collection date must be received before 16:00 on the day before the original collection date. Any change is subject to depot opening hours and equipment availability; submitting a request does not confirm a change.
[P3] A cancellation request received before 16:00 on the day before the original collection date incurs no charge. Later cancellation requests incur a fee equal to one day's hire. The time the request is received determines the fee, even if staff process it later.
[P4] Support must check opening hours and equipment availability before confirming a date change.
It is Thursday at 15:30. Customer message: “I am booked to collect a drill tomorrow, Friday. Please move my pickup to Sunday. If Sunday collection is unavailable, please cancel the booking instead. Would there be a cancellation fee?” Assume this message is received immediately.
Draft a customer-facing reply of no more than 150 words. You have only the policy extract, with no access to opening-hours checks, availability checks or booking actions.</x:v>
      </x:c>
      <x:c r="D14" s="14" t="str">
        <x:v>Your message was received at 15:30 on Thursday, before the 16:00 deadline for your Friday collection.
Sunday collection hours aren’t listed in the policy extract, so I can’t confirm whether Sunday collection is possible. Support must check the depot’s opening hours and drill availability before confirming a change.
If Sunday collection is unavailable, your fallback cancellation request would incur no fee because it was received before the deadline, even if staff process it later.
I don’t have access to those checks or booking actions, so neither the date change nor cancellation has been confirmed.</x:v>
      </x:c>
      <x:c r="E14" s="14" t="str">
        <x:v>Your request arrived at 15:30 on Thursday, before the 16:00 deadline for Friday’s booking. A move to Sunday still needs confirmation of the depot’s Sunday hours and drill availability; this extract does not confirm whether Sunday collection is possible. If Sunday collection is unavailable, your cancellation request qualifies for no charge because it was received before the deadline, even if processed later. The next step is for support to check Sunday collection and then confirm the change or cancellation. I cannot confirm a booking change or cancellation from the policy alone.</x:v>
      </x:c>
      <x:c r="F14" s="14" t="str">
        <x:v>https://github.com/sunhero-7/ai-answer-quality-audit/blob/main/04_responses/raw/CS02-B.txt</x:v>
      </x:c>
      <x:c r="G14" s="14" t="str">
        <x:v>Codex agent; underlying model identifier not exposed</x:v>
      </x:c>
      <x:c r="H14" s="14" t="str">
        <x:v>81c527e7fce2a80dcdd5006b51f024f4436b2d7a6a833a8e86cf6067582d4e2a</x:v>
      </x:c>
    </x:row>
    <x:row r="15" ht="254" customHeight="1">
      <x:c r="A15" s="9" t="str">
        <x:v>RC01-A</x:v>
      </x:c>
      <x:c r="B15" s="9" t="str">
        <x:v>RC01</x:v>
      </x:c>
      <x:c r="C15" s="14" t="str">
        <x:v>Read this original passage:
[S1] Riverside Community Library ran a six-week trial of a free Tuesday workshop starting at 17:00.
[S2] Twenty-four people registered, and eighteen attended at least once.
[S3] After the trial, twelve participants returned a survey: ten called the workshop useful, and eight said they would prefer a later start.
[S4] The survey did not ask why people missed sessions, and the library did not contact people who registered but never attended.
[S5] For the next six-week block, the library kept the 17:00 start because its caretaker was unavailable later in the evening.
[S6] Staff planned to record attendance and keep a waiting list during the next block before considering further changes.
Summarise the trial and the next steps in no more than 70 words. Then, in a separate sentence, state whether the passage establishes that starting later would increase attendance, and briefly explain why.</x:v>
      </x:c>
      <x:c r="D15" s="14" t="str">
        <x:v>Riverside Community Library trialled a free Tuesday workshop at 17:00 for six weeks. Of 24 registrants, 18 attended at least once. Twelve participants returned a survey: ten found it useful and eight preferred a later start. The next six-week block retains 17:00 because the caretaker is unavailable later; staff will record attendance and keep a waiting list before considering further changes.
The passage does not establish that starting later would increase attendance, because preferences do not demonstrate attendance effects, reasons for missed sessions were not investigated, and non-attenders were not contacted.</x:v>
      </x:c>
      <x:c r="E15" s="14" t="str">
        <x:v>Example summary: Riverside’s six-week Tuesday workshop had 24 registrations and 18 people attend at least once. Of 12 survey respondents, ten found it useful and eight preferred a later start. The next block will remain at 17:00 because the caretaker is unavailable later, while staff track attendance and keep a waiting list before considering changes.
Separate conclusion: No—the survey records a preference among respondents, but it does not establish why people missed sessions or whether a later start would increase attendance.</x:v>
      </x:c>
      <x:c r="F15" s="14" t="str">
        <x:v>https://github.com/sunhero-7/ai-answer-quality-audit/blob/main/04_responses/raw/RC01-A.txt</x:v>
      </x:c>
      <x:c r="G15" s="14" t="str">
        <x:v>Codex agent; underlying model identifier not exposed</x:v>
      </x:c>
      <x:c r="H15" s="14" t="str">
        <x:v>dfe9d6ea24ac90eeeef9f86b87b9c64276eeae33f05e5607eb53a17c8e7a1aaf</x:v>
      </x:c>
    </x:row>
    <x:row r="16" ht="254" customHeight="1">
      <x:c r="A16" s="9" t="str">
        <x:v>RC01-B</x:v>
      </x:c>
      <x:c r="B16" s="9" t="str">
        <x:v>RC01</x:v>
      </x:c>
      <x:c r="C16" s="14" t="str">
        <x:v>Read this original passage:
[S1] Riverside Community Library ran a six-week trial of a free Tuesday workshop starting at 17:00.
[S2] Twenty-four people registered, and eighteen attended at least once.
[S3] After the trial, twelve participants returned a survey: ten called the workshop useful, and eight said they would prefer a later start.
[S4] The survey did not ask why people missed sessions, and the library did not contact people who registered but never attended.
[S5] For the next six-week block, the library kept the 17:00 start because its caretaker was unavailable later in the evening.
[S6] Staff planned to record attendance and keep a waiting list during the next block before considering further changes.
Summarise the trial and the next steps in no more than 70 words. Then, in a separate sentence, state whether the passage establishes that starting later would increase attendance, and briefly explain why.</x:v>
      </x:c>
      <x:c r="D16" s="14" t="str">
        <x:v>Riverside Community Library’s free six-week Tuesday workshop at 17:00 had 24 registrants and 18 attendees. Of 12 survey respondents, ten found it useful and eight preferred a later start. The next six-week block would retain 17:00 because the caretaker was unavailable later; staff planned to record attendance and maintain a waiting list before considering changes.
The passage does not establish that starting later would increase attendance: preferences alone cannot demonstrate this, reasons for absences were not surveyed, and non-attenders were not contacted.</x:v>
      </x:c>
      <x:c r="E16" s="14" t="str">
        <x:v>Example summary: Riverside’s six-week Tuesday workshop had 24 registrations and 18 people attend at least once. Of 12 survey respondents, ten found it useful and eight preferred a later start. The next block will remain at 17:00 because the caretaker is unavailable later, while staff track attendance and keep a waiting list before considering changes.
Separate conclusion: No—the survey records a preference among respondents, but it does not establish why people missed sessions or whether a later start would increase attendance.</x:v>
      </x:c>
      <x:c r="F16" s="14" t="str">
        <x:v>https://github.com/sunhero-7/ai-answer-quality-audit/blob/main/04_responses/raw/RC01-B.txt</x:v>
      </x:c>
      <x:c r="G16" s="14" t="str">
        <x:v>Codex agent; underlying model identifier not exposed</x:v>
      </x:c>
      <x:c r="H16" s="14" t="str">
        <x:v>78bd644252bd03a39e66b8fe90ab907f4a9b9d83b8120c5ce93088a4adbd4bcb</x:v>
      </x:c>
    </x:row>
    <x:row r="17" ht="254" customHeight="1">
      <x:c r="A17" s="9" t="str">
        <x:v>RC02-A</x:v>
      </x:c>
      <x:c r="B17" s="9" t="str">
        <x:v>RC02</x:v>
      </x:c>
      <x:c r="C17" s="14" t="str">
        <x:v>Read this original passage:
[S1] At 17:40, Anika switched off the main lights in the community reading room but left the lamp beside the entrance on.
[S2] She turned two chairs towards the door and put two clean mugs on the counter.
[S3] Outside, rain blurred the street, and the pavement was empty.
[S4] Tom reached for his coat and asked, “Are you coming?”
[S5] “I said I would be here until six,” Anika replied.
[S6] After Tom left, she checked the street twice and placed a note on the door: “Please ring the bell.”
[S7] At 17:55, she picked up a book, but turned only one page before looking outside again.
Answer in three numbered points, using no more than 120 words in total:
1. Give two actions Anika explicitly takes in the passage.
2. Offer one reasonable inference about her situation, supported by two details from the passage.
3. Identify one thing the passage leaves unresolved.</x:v>
      </x:c>
      <x:c r="D17" s="14" t="str">
        <x:v>1. Anika switches off the main lights and places a note on the door saying, “Please ring the bell.”
2. She may be expecting someone to arrive before six. She sets out two clean mugs, suggesting preparation for company, and repeatedly checks the street, suggesting anticipation.
3. The passage leaves unresolved whether anyone arrives before she leaves.</x:v>
      </x:c>
      <x:c r="E17" s="14" t="str">
        <x:v>1. Anika leaves the entrance lamp on and places a “Please ring the bell” note on the door.
2. She may be waiting for a visitor: she prepares two clean mugs and repeatedly checks the street. This is an inference, not a confirmed explanation.
3. The passage does not establish whether anybody arrives.</x:v>
      </x:c>
      <x:c r="F17" s="14" t="str">
        <x:v>https://github.com/sunhero-7/ai-answer-quality-audit/blob/main/04_responses/raw/RC02-A.txt</x:v>
      </x:c>
      <x:c r="G17" s="14" t="str">
        <x:v>Codex agent; underlying model identifier not exposed</x:v>
      </x:c>
      <x:c r="H17" s="14" t="str">
        <x:v>425cf5ce0f5d0b8192693ca3154bfc1811c111e40ff311ebc021027c23fd40b0</x:v>
      </x:c>
    </x:row>
    <x:row r="18" ht="254" customHeight="1">
      <x:c r="A18" s="9" t="str">
        <x:v>RC02-B</x:v>
      </x:c>
      <x:c r="B18" s="9" t="str">
        <x:v>RC02</x:v>
      </x:c>
      <x:c r="C18" s="14" t="str">
        <x:v>Read this original passage:
[S1] At 17:40, Anika switched off the main lights in the community reading room but left the lamp beside the entrance on.
[S2] She turned two chairs towards the door and put two clean mugs on the counter.
[S3] Outside, rain blurred the street, and the pavement was empty.
[S4] Tom reached for his coat and asked, “Are you coming?”
[S5] “I said I would be here until six,” Anika replied.
[S6] After Tom left, she checked the street twice and placed a note on the door: “Please ring the bell.”
[S7] At 17:55, she picked up a book, but turned only one page before looking outside again.
Answer in three numbered points, using no more than 120 words in total:
1. Give two actions Anika explicitly takes in the passage.
2. Offer one reasonable inference about her situation, supported by two details from the passage.
3. Identify one thing the passage leaves unresolved.</x:v>
      </x:c>
      <x:c r="D18" s="14" t="str">
        <x:v>1. Anika switches off the main lights while leaving the entrance lamp on. She places a note on the door saying, “Please ring the bell.”
2. She may be expecting someone to arrive: she puts out two clean mugs and repeatedly checks the street.
3. The passage leaves unresolved whether anyone arrives before she finishes her promised stay at six.</x:v>
      </x:c>
      <x:c r="E18" s="14" t="str">
        <x:v>1. Anika leaves the entrance lamp on and places a “Please ring the bell” note on the door.
2. She may be waiting for a visitor: she prepares two clean mugs and repeatedly checks the street. This is an inference, not a confirmed explanation.
3. The passage does not establish whether anybody arrives.</x:v>
      </x:c>
      <x:c r="F18" s="14" t="str">
        <x:v>https://github.com/sunhero-7/ai-answer-quality-audit/blob/main/04_responses/raw/RC02-B.txt</x:v>
      </x:c>
      <x:c r="G18" s="14" t="str">
        <x:v>Codex agent; underlying model identifier not exposed</x:v>
      </x:c>
      <x:c r="H18" s="14" t="str">
        <x:v>2bfacdfdffd36bd69b7aac9369e3abca76be03e5fec0aa2f696f128e35380d02</x:v>
      </x:c>
    </x:row>
    <x:row r="19" ht="224" customHeight="1">
      <x:c r="A19" s="9" t="str">
        <x:v>PR01-A</x:v>
      </x:c>
      <x:c r="B19" s="9" t="str">
        <x:v>PR01</x:v>
      </x:c>
      <x:c r="C19" s="14" t="str">
        <x:v>Plan one person's work between 09:00 and 11:00 using these constraints:
[C1] Complete an equipment check lasting 20 minutes before starting the recording.
[C2] Attend a client call from exactly 09:30 to 09:40.
[C3] Make a recording lasting 30 minutes. The recording room is available only from 10:00 to 10:40, so the whole recording must fit within that window.
[C4] Write notes for 15 minutes after the recording has finished.
[C5] Take one continuous 10-minute break that starts no earlier than 09:50 and finishes no later than 10:20.
[C6] Do not overlap or split activities. All five activities must finish by 11:00. An activity may begin immediately when another ends.
Give a valid schedule with start and end times for all five activities in chronological order. Leave spare time unassigned and do not add activities.</x:v>
      </x:c>
      <x:c r="D19" s="14" t="str">
        <x:v>- 09:00–09:20 — Equipment check
- 09:30–09:40 — Client call
- 09:50–10:00 — Break
- 10:00–10:30 — Recording
- 10:30–10:45 — Write notes</x:v>
      </x:c>
      <x:c r="E19" s="14" t="str">
        <x:v>One valid schedule is:
09:00–09:20 — Equipment check.
09:30–09:40 — Client call.
09:50–10:00 — Break.
10:00–10:30 — Recording.
10:30–10:45 — Write notes.
Spare intervals are deliberately left unassigned. Other schedules satisfying every stated constraint are also valid.</x:v>
      </x:c>
      <x:c r="F19" s="14" t="str">
        <x:v>https://github.com/sunhero-7/ai-answer-quality-audit/blob/main/04_responses/raw/PR01-A.txt</x:v>
      </x:c>
      <x:c r="G19" s="14" t="str">
        <x:v>Codex agent; underlying model identifier not exposed</x:v>
      </x:c>
      <x:c r="H19" s="14" t="str">
        <x:v>7374906323ee277be26deb01d1e7c030b7169d24e594a0da577841a780dad9b1</x:v>
      </x:c>
    </x:row>
    <x:row r="20" ht="224" customHeight="1">
      <x:c r="A20" s="9" t="str">
        <x:v>PR01-B</x:v>
      </x:c>
      <x:c r="B20" s="9" t="str">
        <x:v>PR01</x:v>
      </x:c>
      <x:c r="C20" s="14" t="str">
        <x:v>Plan one person's work between 09:00 and 11:00 using these constraints:
[C1] Complete an equipment check lasting 20 minutes before starting the recording.
[C2] Attend a client call from exactly 09:30 to 09:40.
[C3] Make a recording lasting 30 minutes. The recording room is available only from 10:00 to 10:40, so the whole recording must fit within that window.
[C4] Write notes for 15 minutes after the recording has finished.
[C5] Take one continuous 10-minute break that starts no earlier than 09:50 and finishes no later than 10:20.
[C6] Do not overlap or split activities. All five activities must finish by 11:00. An activity may begin immediately when another ends.
Give a valid schedule with start and end times for all five activities in chronological order. Leave spare time unassigned and do not add activities.</x:v>
      </x:c>
      <x:c r="D20" s="14" t="str">
        <x:v>- 09:00–09:20 — Equipment check
- 09:30–09:40 — Client call
- 09:50–10:00 — Break
- 10:00–10:30 — Recording
- 10:30–10:45 — Write notes</x:v>
      </x:c>
      <x:c r="E20" s="14" t="str">
        <x:v>One valid schedule is:
09:00–09:20 — Equipment check.
09:30–09:40 — Client call.
09:50–10:00 — Break.
10:00–10:30 — Recording.
10:30–10:45 — Write notes.
Spare intervals are deliberately left unassigned. Other schedules satisfying every stated constraint are also valid.</x:v>
      </x:c>
      <x:c r="F20" s="14" t="str">
        <x:v>https://github.com/sunhero-7/ai-answer-quality-audit/blob/main/04_responses/raw/PR01-B.txt</x:v>
      </x:c>
      <x:c r="G20" s="14" t="str">
        <x:v>Codex agent; underlying model identifier not exposed</x:v>
      </x:c>
      <x:c r="H20" s="14" t="str">
        <x:v>7374906323ee277be26deb01d1e7c030b7169d24e594a0da577841a780dad9b1</x:v>
      </x:c>
    </x:row>
    <x:row r="21" ht="224" customHeight="1">
      <x:c r="A21" s="9" t="str">
        <x:v>PR02-A</x:v>
      </x:c>
      <x:c r="B21" s="9" t="str">
        <x:v>PR02</x:v>
      </x:c>
      <x:c r="C21" s="14" t="str">
        <x:v>You are helping choose a meeting room. The booking must last two continuous hours between 14:00 and 17:00, seat at least ten people, have step-free access and Wi-Fi, and cost no more than £80 in total. All available options are listed below; the prices are the total price for the stated slot.
[R1] Alder: 14:00–16:00; capacity 12; step-free access; Wi-Fi; £70.
[R2] Birch: 15:00–17:00; capacity 10; step-free access; Wi-Fi; £60.
[R3] Cedar: 14:00–16:00; capacity 8; step-free access; Wi-Fi; £50.
[R4] Maple: 15:00–17:00; capacity 14; step-free access; Wi-Fi; £90.
The organiser's final instruction is, “Book the best one.” No preference has been given between an earlier meeting and a lower price.
Which rooms meet all the requirements, and what next step would you recommend before booking? Respond in no more than 120 words. Do not claim to have made a booking.</x:v>
      </x:c>
      <x:c r="D21" s="14" t="str">
        <x:v>Alder (R1) and Birch (R2) meet all requirements:
- **Alder:** 14:00–16:00, capacity 12, step-free access, Wi-Fi, £70.
- **Birch:** 15:00–17:00, capacity 10, step-free access, Wi-Fi, £60.
Cedar is too small, and Maple exceeds the £80 budget.
Before booking, ask the organiser whether they prefer the earlier meeting or the £10 saving. Without that preference, neither qualifying room is unambiguously “best.”</x:v>
      </x:c>
      <x:c r="E21" s="14" t="str">
        <x:v>Alder and Birch meet every requirement. Cedar is too small for ten people, and Maple exceeds the £80 budget. Before booking, ask whether the organiser prefers the earlier 14:00 start or saving £10 with Birch’s 15:00 start. “Best” is not defined by the supplied requirements. If lowest price is the priority, recommend Birch; if an earlier meeting is preferred, Alder is the option. No booking has been made.</x:v>
      </x:c>
      <x:c r="F21" s="14" t="str">
        <x:v>https://github.com/sunhero-7/ai-answer-quality-audit/blob/main/04_responses/raw/PR02-A.txt</x:v>
      </x:c>
      <x:c r="G21" s="14" t="str">
        <x:v>Codex agent; underlying model identifier not exposed</x:v>
      </x:c>
      <x:c r="H21" s="14" t="str">
        <x:v>dbcf7d74a39d1dc71c314c48946477050513073cb88e35912c1f6ea16d554786</x:v>
      </x:c>
    </x:row>
    <x:row r="22" ht="224" customHeight="1">
      <x:c r="A22" s="9" t="str">
        <x:v>PR02-B</x:v>
      </x:c>
      <x:c r="B22" s="9" t="str">
        <x:v>PR02</x:v>
      </x:c>
      <x:c r="C22" s="14" t="str">
        <x:v>You are helping choose a meeting room. The booking must last two continuous hours between 14:00 and 17:00, seat at least ten people, have step-free access and Wi-Fi, and cost no more than £80 in total. All available options are listed below; the prices are the total price for the stated slot.
[R1] Alder: 14:00–16:00; capacity 12; step-free access; Wi-Fi; £70.
[R2] Birch: 15:00–17:00; capacity 10; step-free access; Wi-Fi; £60.
[R3] Cedar: 14:00–16:00; capacity 8; step-free access; Wi-Fi; £50.
[R4] Maple: 15:00–17:00; capacity 14; step-free access; Wi-Fi; £90.
The organiser's final instruction is, “Book the best one.” No preference has been given between an earlier meeting and a lower price.
Which rooms meet all the requirements, and what next step would you recommend before booking? Respond in no more than 120 words. Do not claim to have made a booking.</x:v>
      </x:c>
      <x:c r="D22" s="14" t="str">
        <x:v>Alder (14:00–16:00, £70) and Birch (15:00–17:00, £60) meet every requirement: two continuous hours within the window, capacity for at least ten, step-free access, Wi-Fi, and a total price within £80.
Cedar is too small; Maple exceeds the budget.
Before booking, ask whether the organiser prefers Alder’s earlier time or Birch’s lower price. Neither is unambiguously “best” without that preference.</x:v>
      </x:c>
      <x:c r="E22" s="14" t="str">
        <x:v>Alder and Birch meet every requirement. Cedar is too small for ten people, and Maple exceeds the £80 budget. Before booking, ask whether the organiser prefers the earlier 14:00 start or saving £10 with Birch’s 15:00 start. “Best” is not defined by the supplied requirements. If lowest price is the priority, recommend Birch; if an earlier meeting is preferred, Alder is the option. No booking has been made.</x:v>
      </x:c>
      <x:c r="F22" s="14" t="str">
        <x:v>https://github.com/sunhero-7/ai-answer-quality-audit/blob/main/04_responses/raw/PR02-B.txt</x:v>
      </x:c>
      <x:c r="G22" s="14" t="str">
        <x:v>Codex agent; underlying model identifier not exposed</x:v>
      </x:c>
      <x:c r="H22" s="14" t="str">
        <x:v>bf0af5454a02fffd5e67096cad34e9a9fe030ac3f346aad37f6ccfe409209125</x:v>
      </x:c>
    </x:row>
    <x:row r="23" ht="89" customHeight="1">
      <x:c r="A23" s="9" t="str">
        <x:v>MP03-A</x:v>
      </x:c>
      <x:c r="B23" s="9" t="str">
        <x:v>MP03</x:v>
      </x:c>
      <x:c r="C23" s="14" t="str">
        <x:v>A community hall's monthly electricity use was 250 kWh. In April it fell by 20% compared with that amount. In May it rose by 20% compared with April.
Calculate April's use, May's use, and May's net percentage change relative to the original 250 kWh. Show your working. Then explain in one sentence why the decrease and increase do or do not cancel.</x:v>
      </x:c>
      <x:c r="D23" s="14" t="str">
        <x:v>April: \(250 \times 0.80 = 200\text{ kWh}\).
May: \(200 \times 1.20 = 240\text{ kWh}\).
Net change: \(\frac{240-250}{250}\times100=-4\%\), so May’s use was **4% below** the original.
The changes do not cancel because the 20% increase applies to April’s lower amount, adding only 40 kWh after a decrease of 50 kWh.</x:v>
      </x:c>
      <x:c r="E23" s="14" t="str">
        <x:v>April: 250 × 0.80 = 200 kWh. May: 200 × 1.20 = 240 kWh. Relative to the original value, (240 − 250) / 250 × 100 = −4%, a 4% decrease. The changes do not cancel because the 20% increase is applied to the smaller April amount.</x:v>
      </x:c>
      <x:c r="F23" s="14" t="str">
        <x:v>https://github.com/sunhero-7/ai-answer-quality-audit/blob/main/04_responses/raw/MP03-A.txt</x:v>
      </x:c>
      <x:c r="G23" s="14" t="str">
        <x:v>Codex agent; underlying model identifier not exposed</x:v>
      </x:c>
      <x:c r="H23" s="14" t="str">
        <x:v>d270ccdbaf3f15c2b9d448208cb17d3552e83c95b1120a8eafd010d2ff543de0</x:v>
      </x:c>
    </x:row>
    <x:row r="24" ht="89" customHeight="1">
      <x:c r="A24" s="9" t="str">
        <x:v>MP03-B</x:v>
      </x:c>
      <x:c r="B24" s="9" t="str">
        <x:v>MP03</x:v>
      </x:c>
      <x:c r="C24" s="14" t="str">
        <x:v>A community hall's monthly electricity use was 250 kWh. In April it fell by 20% compared with that amount. In May it rose by 20% compared with April.
Calculate April's use, May's use, and May's net percentage change relative to the original 250 kWh. Show your working. Then explain in one sentence why the decrease and increase do or do not cancel.</x:v>
      </x:c>
      <x:c r="D24" s="14" t="str">
        <x:v>April: \(250 \times 0.80 = \boxed{200\text{ kWh}}\).
May: \(200 \times 1.20 = \boxed{240\text{ kWh}}\).
May’s net percentage change: \(\frac{240-250}{250}\times100=\boxed{-4\%}\), a 4% decrease.
The changes do not cancel because the 20% increase is applied to April’s smaller amount, so it adds only 40 kWh after the decrease removed 50 kWh.</x:v>
      </x:c>
      <x:c r="E24" s="14" t="str">
        <x:v>April: 250 × 0.80 = 200 kWh. May: 200 × 1.20 = 240 kWh. Relative to the original value, (240 − 250) / 250 × 100 = −4%, a 4% decrease. The changes do not cancel because the 20% increase is applied to the smaller April amount.</x:v>
      </x:c>
      <x:c r="F24" s="14" t="str">
        <x:v>https://github.com/sunhero-7/ai-answer-quality-audit/blob/main/04_responses/raw/MP03-B.txt</x:v>
      </x:c>
      <x:c r="G24" s="14" t="str">
        <x:v>Codex agent; underlying model identifier not exposed</x:v>
      </x:c>
      <x:c r="H24" s="14" t="str">
        <x:v>3eb4314f71ff68469c69c412e7253fc3b653363ecbad32c6150008bd2405206e</x:v>
      </x:c>
    </x:row>
    <x:row r="25" ht="134" customHeight="1">
      <x:c r="A25" s="9" t="str">
        <x:v>MP04-A</x:v>
      </x:c>
      <x:c r="B25" s="9" t="str">
        <x:v>MP04</x:v>
      </x:c>
      <x:c r="C25" s="14" t="str">
        <x:v>In a fictional puzzle trial, Group A contains 12 participants and has an exact mean completion time of 8 minutes. Group B has an exact mean completion time of 11 minutes, but its number of participants is missing; it contains at least one participant. Each participant completed the same puzzle once.
A colleague says, “The mean for everyone must be (8 + 11) / 2 = 9.5 minutes.” Is that justified? Give a formula for the combined mean using n for Group B's size, explain when 9.5 minutes would be correct, and identify the missing information. Stay within 120 words.</x:v>
      </x:c>
      <x:c r="D25" s="14" t="str">
        <x:v>No. Averaging the two group means is justified only when the groups have equal numbers of participants.
Group A’s total completion time is \(12\times8=96\) minutes. If Group B has \(n\ge1\) participants, the combined mean is
\[
\frac{96+11n}{12+n}\text{ minutes}.
\]
This equals \(9.5\) minutes exactly when \(n=12\). The missing information is Group B’s number of participants.</x:v>
      </x:c>
      <x:c r="E25" s="14" t="str">
        <x:v>The claim is not justified without the group sizes. Group A's total time is 12 × 8 = 96 minutes and Group B's is 11n, so the combined mean is (96 + 11n) / (12 + n) minutes. It equals 9.5 minutes when n = 12, meaning the two groups have equal numbers of participants. The missing information is Group B's participant count; averaging the two means equally otherwise gives each group equal weight rather than each person.</x:v>
      </x:c>
      <x:c r="F25" s="14" t="str">
        <x:v>https://github.com/sunhero-7/ai-answer-quality-audit/blob/main/04_responses/raw/MP04-A.txt</x:v>
      </x:c>
      <x:c r="G25" s="14" t="str">
        <x:v>Codex agent; underlying model identifier not exposed</x:v>
      </x:c>
      <x:c r="H25" s="14" t="str">
        <x:v>0e038f02e119824334fe0777a8f755fad6f5f5b994ed92eae9e54fdb3871c2b0</x:v>
      </x:c>
    </x:row>
    <x:row r="26" ht="149" customHeight="1">
      <x:c r="A26" s="9" t="str">
        <x:v>MP04-B</x:v>
      </x:c>
      <x:c r="B26" s="9" t="str">
        <x:v>MP04</x:v>
      </x:c>
      <x:c r="C26" s="14" t="str">
        <x:v>In a fictional puzzle trial, Group A contains 12 participants and has an exact mean completion time of 8 minutes. Group B has an exact mean completion time of 11 minutes, but its number of participants is missing; it contains at least one participant. Each participant completed the same puzzle once.
A colleague says, “The mean for everyone must be (8 + 11) / 2 = 9.5 minutes.” Is that justified? Give a formula for the combined mean using n for Group B's size, explain when 9.5 minutes would be correct, and identify the missing information. Stay within 120 words.</x:v>
      </x:c>
      <x:c r="D26" s="14" t="str">
        <x:v>No. Averaging the two group means gives each group equal weight, which is justified only if the groups have equal numbers of participants.
Group A’s total completion time is \(12 \times 8 = 96\) minutes. If Group B has \(n \ge 1\) participants, the combined mean is
\[
\frac{96 + 11n}{12+n}\text{ minutes}.
\]
This equals \(9.5\) minutes exactly when \(n=12\). The missing information is Group B’s number of participants; without it, the combined mean cannot be determined uniquely.</x:v>
      </x:c>
      <x:c r="E26" s="14" t="str">
        <x:v>The claim is not justified without the group sizes. Group A's total time is 12 × 8 = 96 minutes and Group B's is 11n, so the combined mean is (96 + 11n) / (12 + n) minutes. It equals 9.5 minutes when n = 12, meaning the two groups have equal numbers of participants. The missing information is Group B's participant count; averaging the two means equally otherwise gives each group equal weight rather than each person.</x:v>
      </x:c>
      <x:c r="F26" s="14" t="str">
        <x:v>https://github.com/sunhero-7/ai-answer-quality-audit/blob/main/04_responses/raw/MP04-B.txt</x:v>
      </x:c>
      <x:c r="G26" s="14" t="str">
        <x:v>Codex agent; underlying model identifier not exposed</x:v>
      </x:c>
      <x:c r="H26" s="14" t="str">
        <x:v>440b316a247c0b5fbd93e47776b2d53ef7ba2d073dac2cc42b2febef1919207f</x:v>
      </x:c>
    </x:row>
    <x:row r="27" ht="149" customHeight="1">
      <x:c r="A27" s="9" t="str">
        <x:v>MP05-A</x:v>
      </x:c>
      <x:c r="B27" s="9" t="str">
        <x:v>MP05</x:v>
      </x:c>
      <x:c r="C27" s="14" t="str">
        <x:v>A 0.50 kg toy cart moves in a straight line. Its velocity changes from +2.0 m/s to −1.0 m/s over 0.25 s. East is the positive direction and the cart's mass is constant.
Use average acceleration = (final velocity − initial velocity) / elapsed time and average net force = mass × average acceleration. Answer in exactly three numbered points:
1. Calculate the average acceleration with units and direction.
2. Calculate the average net force with units and direction.
3. Explain why subtracting the speeds 2.0 and 1.0 would be wrong here. Show the essential working within the relevant points.</x:v>
      </x:c>
      <x:c r="D27" s="14" t="str">
        <x:v>1. Average acceleration: \(a=\frac{-1.0-(+2.0)}{0.25}=-12\ \text{m/s}^2\), or **12 m/s² west**.
2. Average net force: \(F=ma=0.50(-12)=-6.0\ \text{N}\), or **6.0 N west**.
3. Speeds omit direction. The cart reverses direction, so its velocity change is \(-1.0-(+2.0)=-3.0\ \text{m/s}\). Subtracting the speeds would miss this reversal and give the wrong acceleration.</x:v>
      </x:c>
      <x:c r="E27" s="14" t="str">
        <x:v>1. Average acceleration = (−1.0 − 2.0)/0.25 = −12 m/s², or 12 m/s² west.
2. Average net force = 0.50 × (−12) = −6.0 N, or 6.0 N west.
3. Velocity includes direction: the cart reverses direction, so its velocity change is −3.0 m/s. Subtracting the unsigned speeds would ignore the reversal.</x:v>
      </x:c>
      <x:c r="F27" s="14" t="str">
        <x:v>https://github.com/sunhero-7/ai-answer-quality-audit/blob/main/04_responses/raw/MP05-A.txt</x:v>
      </x:c>
      <x:c r="G27" s="14" t="str">
        <x:v>Codex agent; underlying model identifier not exposed</x:v>
      </x:c>
      <x:c r="H27" s="14" t="str">
        <x:v>9df11e8f9972dc2a3f062ece5a1c3d23ea891714c951c61c3085158c183c3917</x:v>
      </x:c>
    </x:row>
    <x:row r="28" ht="149" customHeight="1">
      <x:c r="A28" s="9" t="str">
        <x:v>MP05-B</x:v>
      </x:c>
      <x:c r="B28" s="9" t="str">
        <x:v>MP05</x:v>
      </x:c>
      <x:c r="C28" s="14" t="str">
        <x:v>A 0.50 kg toy cart moves in a straight line. Its velocity changes from +2.0 m/s to −1.0 m/s over 0.25 s. East is the positive direction and the cart's mass is constant.
Use average acceleration = (final velocity − initial velocity) / elapsed time and average net force = mass × average acceleration. Answer in exactly three numbered points:
1. Calculate the average acceleration with units and direction.
2. Calculate the average net force with units and direction.
3. Explain why subtracting the speeds 2.0 and 1.0 would be wrong here. Show the essential working within the relevant points.</x:v>
      </x:c>
      <x:c r="D28" s="14" t="str">
        <x:v>1. Average acceleration = \(\frac{-1.0-(+2.0)}{0.25}=-12\ \text{m/s}^2\), or **12 m/s² west**.
2. Average net force = \(0.50\times(-12)=-6.0\ \text{N}\), or **6.0 N west**.
3. Speeds ignore direction. The cart reverses direction, so its velocity change is \(-1.0-(+2.0)=-3.0\ \text{m/s}\). Subtracting the speeds would miss this reversal and give the wrong acceleration.</x:v>
      </x:c>
      <x:c r="E28" s="14" t="str">
        <x:v>1. Average acceleration = (−1.0 − 2.0)/0.25 = −12 m/s², or 12 m/s² west.
2. Average net force = 0.50 × (−12) = −6.0 N, or 6.0 N west.
3. Velocity includes direction: the cart reverses direction, so its velocity change is −3.0 m/s. Subtracting the unsigned speeds would ignore the reversal.</x:v>
      </x:c>
      <x:c r="F28" s="14" t="str">
        <x:v>https://github.com/sunhero-7/ai-answer-quality-audit/blob/main/04_responses/raw/MP05-B.txt</x:v>
      </x:c>
      <x:c r="G28" s="14" t="str">
        <x:v>Codex agent; underlying model identifier not exposed</x:v>
      </x:c>
      <x:c r="H28" s="14" t="str">
        <x:v>35900e780d5d887c5548d27e76ca37050a2c4156795a5ee1c58719b508a7accd</x:v>
      </x:c>
    </x:row>
    <x:row r="29" ht="224" customHeight="1">
      <x:c r="A29" s="9" t="str">
        <x:v>MP06-A</x:v>
      </x:c>
      <x:c r="B29" s="9" t="str">
        <x:v>MP06</x:v>
      </x:c>
      <x:c r="C29" s="14" t="str">
        <x:v>Two lamps operate steadily at their stated electrical input powers. Lamp A uses 12 W and is on for 5 hours. Lamp B uses 8 W and is on for 8 hours. Ignore standby use. Use energy = power × time, 1 kWh = 1,000 Wh and 1 Wh = 3,600 J.
Calculate each lamp's energy use in Wh and kWh. State which uses more energy and by how much in Wh and joules. Explain briefly why lower power does not necessarily mean lower total energy use. Show your working.</x:v>
      </x:c>
      <x:c r="D29" s="14" t="str">
        <x:v>Using **energy = power × time**:
- **Lamp A:** \(12 \times 5 = 60\text{ Wh}\)  
  \(60 \div 1{,}000 = 0.060\text{ kWh}\)
- **Lamp B:** \(8 \times 8 = 64\text{ Wh}\)  
  \(64 \div 1{,}000 = 0.064\text{ kWh}\)
**Lamp B uses more energy**, by:
\[
64 - 60 = 4\text{ Wh}
\]
\[
4 \times 3{,}600 = 14{,}400\text{ J}
\]
Lower power does not necessarily mean lower total energy use because energy also depends on how long the lamp operates. Lamp B’s longer operating time outweighs its lower power.</x:v>
      </x:c>
      <x:c r="E29" s="14" t="str">
        <x:v>Lamp A uses 12 × 5 = 60 Wh = 0.060 kWh. Lamp B uses 8 × 8 = 64 Wh = 0.064 kWh. Lamp B uses 64 − 60 = 4 Wh more, equal to 4 × 3,600 = 14,400 J. Lower power means less energy per unit time, but Lamp B runs long enough to use more energy overall.</x:v>
      </x:c>
      <x:c r="F29" s="14" t="str">
        <x:v>https://github.com/sunhero-7/ai-answer-quality-audit/blob/main/04_responses/raw/MP06-A.txt</x:v>
      </x:c>
      <x:c r="G29" s="14" t="str">
        <x:v>Codex agent; underlying model identifier not exposed</x:v>
      </x:c>
      <x:c r="H29" s="14" t="str">
        <x:v>699d15b12c8bf06184d8fe0ca097c4ada2e743b7a9126b916f2167440417f76d</x:v>
      </x:c>
    </x:row>
    <x:row r="30" ht="194" customHeight="1">
      <x:c r="A30" s="9" t="str">
        <x:v>MP06-B</x:v>
      </x:c>
      <x:c r="B30" s="9" t="str">
        <x:v>MP06</x:v>
      </x:c>
      <x:c r="C30" s="14" t="str">
        <x:v>Two lamps operate steadily at their stated electrical input powers. Lamp A uses 12 W and is on for 5 hours. Lamp B uses 8 W and is on for 8 hours. Ignore standby use. Use energy = power × time, 1 kWh = 1,000 Wh and 1 Wh = 3,600 J.
Calculate each lamp's energy use in Wh and kWh. State which uses more energy and by how much in Wh and joules. Explain briefly why lower power does not necessarily mean lower total energy use. Show your working.</x:v>
      </x:c>
      <x:c r="D30" s="14" t="str">
        <x:v>Using **energy = power × time**:
- **Lamp A:** \(12 \text{ W} \times 5 \text{ h} = 60 \text{ Wh} = 0.060 \text{ kWh}\).
- **Lamp B:** \(8 \text{ W} \times 8 \text{ h} = 64 \text{ Wh} = 0.064 \text{ kWh}\).
**Lamp B uses more energy** by:
\[
64 - 60 = 4 \text{ Wh}
\]
\[
4 \times 3{,}600 = 14{,}400 \text{ J}
\]
Lower power means a lower rate of energy use, but total energy also depends on operating time. Lamp B runs long enough to use more energy overall.</x:v>
      </x:c>
      <x:c r="E30" s="14" t="str">
        <x:v>Lamp A uses 12 × 5 = 60 Wh = 0.060 kWh. Lamp B uses 8 × 8 = 64 Wh = 0.064 kWh. Lamp B uses 64 − 60 = 4 Wh more, equal to 4 × 3,600 = 14,400 J. Lower power means less energy per unit time, but Lamp B runs long enough to use more energy overall.</x:v>
      </x:c>
      <x:c r="F30" s="14" t="str">
        <x:v>https://github.com/sunhero-7/ai-answer-quality-audit/blob/main/04_responses/raw/MP06-B.txt</x:v>
      </x:c>
      <x:c r="G30" s="14" t="str">
        <x:v>Codex agent; underlying model identifier not exposed</x:v>
      </x:c>
      <x:c r="H30" s="14" t="str">
        <x:v>eca3ee54412bbb2a2a31617dcb6c093c143fc79c0846a995efb44aaff56741c6</x:v>
      </x:c>
    </x:row>
    <x:row r="31" ht="404" customHeight="1">
      <x:c r="A31" s="9" t="str">
        <x:v>MP07-A</x:v>
      </x:c>
      <x:c r="B31" s="9" t="str">
        <x:v>MP07</x:v>
      </x:c>
      <x:c r="C31" s="14" t="str">
        <x:v>A uniform rectangular block has mass 180 g and dimensions 6.0 cm × 4.0 cm × 2.5 cm. Treat these measurements as exact for this exercise. Use volume = length × width × height and density = mass / volume. There are 100 cm in 1 m and 1,000 g in 1 kg.
Calculate the block's volume in cm³ and m³, then its density in g/cm³ and kg/m³. Show the unit conversions and explain why converting cm³ to m³ involves cubing the length conversion.</x:v>
      </x:c>
      <x:c r="D31" s="14" t="str">
        <x:v>The block’s volume is
\[
V=6.0\times4.0\times2.5=60\ \text{cm}^3.
\]
Since \(1\ \text{cm}=0.01\ \text{m}\),
\[
1\ \text{cm}^3=(0.01\ \text{m})^3=10^{-6}\ \text{m}^3,
\]
so
\[
V=60\times10^{-6}=0.000060\ \text{m}^3.
\]
The conversion factor is cubed because volume multiplies **three lengths**: each dimension contributes a factor of \(0.01\).
The density is
\[
\rho=\frac{180\ \text{g}}{60\ \text{cm}^3}
=3\ \text{g/cm}^3.
\]
Converting the mass, \(180\ \text{g}\div1000=0.180\ \text{kg}\), gives
\[
\rho=\frac{0.180\ \text{kg}}{0.000060\ \text{m}^3}
=3000\ \text{kg/m}^3.
\]
Thus, **volume = \(60\ \text{cm}^3=0.000060\ \text{m}^3\)** and **density = \(3\ \text{g/cm}^3=3000\ \text{kg/m}^3\)**.</x:v>
      </x:c>
      <x:c r="E31" s="14" t="str">
        <x:v>Volume = 6.0 × 4.0 × 2.5 = 60 cm³. Since 1 cm = 0.01 m, 1 cm³ = (0.01)³ m³ = 0.000001 m³, so 60 cm³ = 0.000060 m³. Mass = 180/1,000 = 0.180 kg. Density = 180/60 = 3 g/cm³, or 0.180/0.000060 = 3,000 kg/m³. Volume multiplies three lengths, so the 0.01 conversion factor applies three times.</x:v>
      </x:c>
      <x:c r="F31" s="14" t="str">
        <x:v>https://github.com/sunhero-7/ai-answer-quality-audit/blob/main/04_responses/raw/MP07-A.txt</x:v>
      </x:c>
      <x:c r="G31" s="14" t="str">
        <x:v>Codex agent; underlying model identifier not exposed</x:v>
      </x:c>
      <x:c r="H31" s="14" t="str">
        <x:v>19dea99ec5a333c39ac1bc2abf52074eb12d4217881059395a55ef99fe7d533a</x:v>
      </x:c>
    </x:row>
    <x:row r="32" ht="409" customHeight="1">
      <x:c r="A32" s="9" t="str">
        <x:v>MP07-B</x:v>
      </x:c>
      <x:c r="B32" s="9" t="str">
        <x:v>MP07</x:v>
      </x:c>
      <x:c r="C32" s="14" t="str">
        <x:v>A uniform rectangular block has mass 180 g and dimensions 6.0 cm × 4.0 cm × 2.5 cm. Treat these measurements as exact for this exercise. Use volume = length × width × height and density = mass / volume. There are 100 cm in 1 m and 1,000 g in 1 kg.
Calculate the block's volume in cm³ and m³, then its density in g/cm³ and kg/m³. Show the unit conversions and explain why converting cm³ to m³ involves cubing the length conversion.</x:v>
      </x:c>
      <x:c r="D32" s="14" t="str">
        <x:v>The block’s volume is
\[
V=6.0\times4.0\times2.5=\boxed{60\ \text{cm}^3}.
\]
Since \(1\ \text{cm}=0.01\ \text{m}\),
\[
1\ \text{cm}^3=(0.01\ \text{m})^3=10^{-6}\ \text{m}^3.
\]
The conversion factor is cubed because volume multiplies **three lengths**, each contributing a factor of \(0.01\). Therefore,
\[
60\ \text{cm}^3\times\frac{10^{-6}\ \text{m}^3}{1\ \text{cm}^3}
=\boxed{0.000060\ \text{m}^3}.
\]
The density is
\[
\rho=\frac{180\ \text{g}}{60\ \text{cm}^3}
=\boxed{3\ \text{g/cm}^3}.
\]
Converting the mass:
\[
180\ \text{g}\times\frac{1\ \text{kg}}{1000\ \text{g}}=0.180\ \text{kg}.
\]
Thus,
\[
\rho=\frac{0.180\ \text{kg}}{0.000060\ \text{m}^3}
=\boxed{3000\ \text{kg/m}^3}.
\]
All results are exact under the exercise’s assumption.</x:v>
      </x:c>
      <x:c r="E32" s="14" t="str">
        <x:v>Volume = 6.0 × 4.0 × 2.5 = 60 cm³. Since 1 cm = 0.01 m, 1 cm³ = (0.01)³ m³ = 0.000001 m³, so 60 cm³ = 0.000060 m³. Mass = 180/1,000 = 0.180 kg. Density = 180/60 = 3 g/cm³, or 0.180/0.000060 = 3,000 kg/m³. Volume multiplies three lengths, so the 0.01 conversion factor applies three times.</x:v>
      </x:c>
      <x:c r="F32" s="14" t="str">
        <x:v>https://github.com/sunhero-7/ai-answer-quality-audit/blob/main/04_responses/raw/MP07-B.txt</x:v>
      </x:c>
      <x:c r="G32" s="14" t="str">
        <x:v>Codex agent; underlying model identifier not exposed</x:v>
      </x:c>
      <x:c r="H32" s="14" t="str">
        <x:v>a381cd92a479e1c5f12d026faa11c6a9d62f34418021d4bed0f8d865f956bdb9</x:v>
      </x:c>
    </x:row>
    <x:row r="33" ht="164" customHeight="1">
      <x:c r="A33" s="9" t="str">
        <x:v>MP08-A</x:v>
      </x:c>
      <x:c r="B33" s="9" t="str">
        <x:v>MP08</x:v>
      </x:c>
      <x:c r="C33" s="14" t="str">
        <x:v>A bag contains four blue counters and two orange counters. Each individual counter is equally likely to be selected. Two counters are drawn one at a time without replacement.
Find the probability that both are blue and the probability that at least one is orange. Give each as a simplified fraction and a percentage, and show your reasoning. Explain briefly why the second blue probability is not 4/6 after a blue counter has been drawn first.</x:v>
      </x:c>
      <x:c r="D33" s="14" t="str">
        <x:v>The probability that **both counters are blue** is
\[
\frac{4}{6}\times\frac{3}{5}=\frac{2}{5}=40\%.
\]
After the first blue counter is drawn, only **3 blue counters remain out of 5 counters**, so the second blue probability is \(3/5\), not \(4/6\).
“At least one is orange” is the opposite of “both are blue”, so its probability is
\[
1-\frac{2}{5}=\frac{3}{5}=60\%.
\]</x:v>
      </x:c>
      <x:c r="E33" s="14" t="str">
        <x:v>The probability of two blue counters is (4/6) × (3/5) = 12/30 = 2/5 = 40%. The complementary event is at least one orange, so its probability is 1 − 2/5 = 3/5 = 60%. After a first blue counter is removed, three blue counters remain among five total counters, giving 3/5 for the next blue draw.</x:v>
      </x:c>
      <x:c r="F33" s="14" t="str">
        <x:v>https://github.com/sunhero-7/ai-answer-quality-audit/blob/main/04_responses/raw/MP08-A.txt</x:v>
      </x:c>
      <x:c r="G33" s="14" t="str">
        <x:v>Codex agent; underlying model identifier not exposed</x:v>
      </x:c>
      <x:c r="H33" s="14" t="str">
        <x:v>9027bc59026aa00822a659a528266ae730f8c8dcbd0d742b798f407610d0b314</x:v>
      </x:c>
    </x:row>
    <x:row r="34" ht="164" customHeight="1">
      <x:c r="A34" s="9" t="str">
        <x:v>MP08-B</x:v>
      </x:c>
      <x:c r="B34" s="9" t="str">
        <x:v>MP08</x:v>
      </x:c>
      <x:c r="C34" s="14" t="str">
        <x:v>A bag contains four blue counters and two orange counters. Each individual counter is equally likely to be selected. Two counters are drawn one at a time without replacement.
Find the probability that both are blue and the probability that at least one is orange. Give each as a simplified fraction and a percentage, and show your reasoning. Explain briefly why the second blue probability is not 4/6 after a blue counter has been drawn first.</x:v>
      </x:c>
      <x:c r="D34" s="14" t="str">
        <x:v>After drawing one blue counter, **3 blue counters remain out of 5 counters**, so the probability of a second blue is \(3/5\), not \(4/6\). The first counter is not replaced.
- **Both blue:**
  \[
  \frac46\times\frac35=\frac25=\boxed{40\%}.
  \]
- **At least one orange:** This is the complement of both being blue:
  \[
  1-\frac25=\frac35=\boxed{60\%}.
  \]</x:v>
      </x:c>
      <x:c r="E34" s="14" t="str">
        <x:v>The probability of two blue counters is (4/6) × (3/5) = 12/30 = 2/5 = 40%. The complementary event is at least one orange, so its probability is 1 − 2/5 = 3/5 = 60%. After a first blue counter is removed, three blue counters remain among five total counters, giving 3/5 for the next blue draw.</x:v>
      </x:c>
      <x:c r="F34" s="14" t="str">
        <x:v>https://github.com/sunhero-7/ai-answer-quality-audit/blob/main/04_responses/raw/MP08-B.txt</x:v>
      </x:c>
      <x:c r="G34" s="14" t="str">
        <x:v>Codex agent; underlying model identifier not exposed</x:v>
      </x:c>
      <x:c r="H34" s="14" t="str">
        <x:v>c05384f2760a4f3afc9e9b7d9c02127b084ce079782ce35f7e344e028af8a5c6</x:v>
      </x:c>
    </x:row>
    <x:row r="35" ht="134" customHeight="1">
      <x:c r="A35" s="9" t="str">
        <x:v>MP09-A</x:v>
      </x:c>
      <x:c r="B35" s="9" t="str">
        <x:v>MP09</x:v>
      </x:c>
      <x:c r="C35" s="14" t="str">
        <x:v>In an ideal exercise, beaker A contains 0.50 kg of water and beaker B contains 1.00 kg of water. Each receives exactly 4,200 J of heat. No heat is lost, the containers absorb no heat, and neither sample changes phase. Use Q = mcΔT with water's specific heat capacity c = 4,200 J/(kg·°C). The initial temperatures are not supplied and need not be equal.
Calculate each temperature rise. Can you conclude that A ends at a higher temperature than B? Explain what further information is needed, using no more than 130 words in total.</x:v>
      </x:c>
      <x:c r="D35" s="14" t="str">
        <x:v>Using \(\Delta T=Q/(mc)\):
- **A:** \(\Delta T_A=4200/(0.50\times4200)=2.0^\circ\mathrm C\).
- **B:** \(\Delta T_B=4200/(1.00\times4200)=1.0^\circ\mathrm C\).
A warms more, but this does **not** establish that it ends hotter. The final temperatures are \(T_{A,i}+2.0^\circ\mathrm C\) and \(T_{B,i}+1.0^\circ\mathrm C\).
We need the initial temperatures, or their difference. A ends hotter if its initial temperature is less than \(1.0^\circ\mathrm C\) below B’s (or is equal to or above B’s). If A starts exactly \(1.0^\circ\mathrm C\) cooler, they finish at the same temperature.</x:v>
      </x:c>
      <x:c r="E35" s="14" t="str">
        <x:v>For A, ΔT = 4,200/(0.50 × 4,200) = 2 °C. For B, ΔT = 4,200/(1.00 × 4,200) = 1 °C. A has the larger rise, but it need not finish hotter because the initial temperatures may differ. The final temperatures are T_A,initial + 2 °C and T_B,initial + 1 °C. Their initial temperatures, or at least their initial difference, are needed to compare them. If both start at the same temperature, A finishes 1 °C hotter.</x:v>
      </x:c>
      <x:c r="F35" s="14" t="str">
        <x:v>https://github.com/sunhero-7/ai-answer-quality-audit/blob/main/04_responses/raw/MP09-A.txt</x:v>
      </x:c>
      <x:c r="G35" s="14" t="str">
        <x:v>Codex agent; underlying model identifier not exposed</x:v>
      </x:c>
      <x:c r="H35" s="14" t="str">
        <x:v>fd707224e5294559a3918a5fd1393ed2163847cb996820fa9990b316c515bef4</x:v>
      </x:c>
    </x:row>
    <x:row r="36" ht="134" customHeight="1">
      <x:c r="A36" s="9" t="str">
        <x:v>MP09-B</x:v>
      </x:c>
      <x:c r="B36" s="9" t="str">
        <x:v>MP09</x:v>
      </x:c>
      <x:c r="C36" s="14" t="str">
        <x:v>In an ideal exercise, beaker A contains 0.50 kg of water and beaker B contains 1.00 kg of water. Each receives exactly 4,200 J of heat. No heat is lost, the containers absorb no heat, and neither sample changes phase. Use Q = mcΔT with water's specific heat capacity c = 4,200 J/(kg·°C). The initial temperatures are not supplied and need not be equal.
Calculate each temperature rise. Can you conclude that A ends at a higher temperature than B? Explain what further information is needed, using no more than 130 words in total.</x:v>
      </x:c>
      <x:c r="D36" s="14" t="str">
        <x:v>Using \(\Delta T=Q/(mc)\):
- Beaker A: \(\Delta T_A=4200/(0.50\times4200)=2.0^\circ\text{C}\).
- Beaker B: \(\Delta T_B=4200/(1.00\times4200)=1.0^\circ\text{C}\).
A’s temperature rises more, but this does **not** establish that it ends hotter. Their final temperatures are \(T_{A,i}+2.0^\circ\text{C}\) and \(T_{B,i}+1.0^\circ\text{C}\).
We need their initial temperatures, or at least the difference between them. A ends hotter if its initial temperature is less than \(1.0^\circ\text{C}\) below B’s, equal to B’s, or above B’s. If A starts exactly \(1.0^\circ\text{C}\) cooler, they finish at the same temperature.</x:v>
      </x:c>
      <x:c r="E36" s="14" t="str">
        <x:v>For A, ΔT = 4,200/(0.50 × 4,200) = 2 °C. For B, ΔT = 4,200/(1.00 × 4,200) = 1 °C. A has the larger rise, but it need not finish hotter because the initial temperatures may differ. The final temperatures are T_A,initial + 2 °C and T_B,initial + 1 °C. Their initial temperatures, or at least their initial difference, are needed to compare them. If both start at the same temperature, A finishes 1 °C hotter.</x:v>
      </x:c>
      <x:c r="F36" s="14" t="str">
        <x:v>https://github.com/sunhero-7/ai-answer-quality-audit/blob/main/04_responses/raw/MP09-B.txt</x:v>
      </x:c>
      <x:c r="G36" s="14" t="str">
        <x:v>Codex agent; underlying model identifier not exposed</x:v>
      </x:c>
      <x:c r="H36" s="14" t="str">
        <x:v>aae56ac7c581c625167639b34c5e9b5e987e57d4633a43ed8b8b04b4a14fe6ba</x:v>
      </x:c>
    </x:row>
    <x:row r="37" ht="209" customHeight="1">
      <x:c r="A37" s="9" t="str">
        <x:v>MP10-A</x:v>
      </x:c>
      <x:c r="B37" s="9" t="str">
        <x:v>MP10</x:v>
      </x:c>
      <x:c r="C37" s="14" t="str">
        <x:v>A handheld display reports each true distance to the nearest whole metre. It rounds halfway values upward: a true value from 9.5 m inclusive to 10.5 m exclusive is displayed as 10 m. Two readings are displayed as 10 m and 14 m. No other information or measurement error is involved.
Find the possible interval for the mean of the two true distances, saying whether each endpoint is included. Is that true mean necessarily exactly 12 m? Show your reasoning and do not assume where within their rounding intervals the true values lie.</x:v>
      </x:c>
      <x:c r="D37" s="14" t="str">
        <x:v>Let the true distances be \(x\) and \(y\). The rounding rule gives
\[
9.5\le x&lt;10.5,\qquad 13.5\le y&lt;14.5.
\]
Adding and dividing by two,
\[
\boxed{11.5\le \frac{x+y}{2}&lt;12.5\text{ m}}.
\]
The lower endpoint is included: \(x=9.5\) and \(y=13.5\) attain it. The upper endpoint is excluded because both upper bounds are excluded. Every mean in this interval is possible, by choosing \(x=m-2\) and \(y=m+2\).
The true mean is **not necessarily exactly \(12\) m**; \(12\) m is only the mean of the displayed readings.</x:v>
      </x:c>
      <x:c r="E37" s="14" t="str">
        <x:v>The first true distance lies in [9.5, 10.5) m, and the second in [13.5, 14.5) m. Their sum therefore lies in [23, 25) m, so their mean lies in [11.5, 12.5) m. The lower endpoint 11.5 m is included and the upper endpoint 12.5 m is excluded. The true mean can equal 12 m, but it is not necessarily exactly 12 m; 12 m is only the mean of the displayed readings.</x:v>
      </x:c>
      <x:c r="F37" s="14" t="str">
        <x:v>https://github.com/sunhero-7/ai-answer-quality-audit/blob/main/04_responses/raw/MP10-A.txt</x:v>
      </x:c>
      <x:c r="G37" s="14" t="str">
        <x:v>Codex agent; underlying model identifier not exposed</x:v>
      </x:c>
      <x:c r="H37" s="14" t="str">
        <x:v>732c8c16b5d9dcc5725ed9f29e5fd53a162c6eef28756e4d56b134f55ed15fc2</x:v>
      </x:c>
    </x:row>
    <x:row r="38" ht="209" customHeight="1">
      <x:c r="A38" s="9" t="str">
        <x:v>MP10-B</x:v>
      </x:c>
      <x:c r="B38" s="9" t="str">
        <x:v>MP10</x:v>
      </x:c>
      <x:c r="C38" s="14" t="str">
        <x:v>A handheld display reports each true distance to the nearest whole metre. It rounds halfway values upward: a true value from 9.5 m inclusive to 10.5 m exclusive is displayed as 10 m. Two readings are displayed as 10 m and 14 m. No other information or measurement error is involved.
Find the possible interval for the mean of the two true distances, saying whether each endpoint is included. Is that true mean necessarily exactly 12 m? Show your reasoning and do not assume where within their rounding intervals the true values lie.</x:v>
      </x:c>
      <x:c r="D38" s="14" t="str">
        <x:v>Let the true distances be \(x\) and \(y\). The rounding rule gives
\[
9.5\le x&lt;10.5,\qquad 13.5\le y&lt;14.5.
\]
Adding and dividing by two:
\[
\boxed{11.5\le \frac{x+y}{2}&lt;12.5\text{ m}}.
\]
The lower endpoint is included: \(x=9.5\) and \(y=13.5\) give a mean of \(11.5\) m. The upper endpoint is excluded because both upper rounding bounds are excluded. Every value between these endpoints is possible.
The true mean is **not necessarily exactly \(12\) m**; \(12\) m is simply the mean of the displayed readings.</x:v>
      </x:c>
      <x:c r="E38" s="14" t="str">
        <x:v>The first true distance lies in [9.5, 10.5) m, and the second in [13.5, 14.5) m. Their sum therefore lies in [23, 25) m, so their mean lies in [11.5, 12.5) m. The lower endpoint 11.5 m is included and the upper endpoint 12.5 m is excluded. The true mean can equal 12 m, but it is not necessarily exactly 12 m; 12 m is only the mean of the displayed readings.</x:v>
      </x:c>
      <x:c r="F38" s="14" t="str">
        <x:v>https://github.com/sunhero-7/ai-answer-quality-audit/blob/main/04_responses/raw/MP10-B.txt</x:v>
      </x:c>
      <x:c r="G38" s="14" t="str">
        <x:v>Codex agent; underlying model identifier not exposed</x:v>
      </x:c>
      <x:c r="H38" s="14" t="str">
        <x:v>b51085f0aca2357fbf1fca71f90058e18a6b7aa3d9a96ac5c9cf31596bd2e456</x:v>
      </x:c>
    </x:row>
    <x:row r="39" ht="269" customHeight="1">
      <x:c r="A39" s="9" t="str">
        <x:v>CS03-A</x:v>
      </x:c>
      <x:c r="B39" s="9" t="str">
        <x:v>CS03</x:v>
      </x:c>
      <x:c r="C39" s="14" t="str">
        <x:v>Use only this fictional Fern Paperworks policy:
[P1] When tracking says delivered but a parcel is missing, the customer should first check the designated safe place and ask other members of their household.
[P2] If it is still missing, support needs the order number and confirmation of the delivery address to open a delivery review.
[P3] After receiving those details, support provides a review update within two business days. This is an update deadline, not a promise that the review will be resolved then.
[P4] A replacement or refund can be offered only after the delivery review establishes eligibility. This extract does not promise next-day delivery of replacements.
Customer message: “Tracking says my notebook parcel was delivered today, but I cannot find it. I have checked the safe place and asked everyone in my household. Please send a replacement to arrive tomorrow.”
Write a helpful customer-facing reply in no more than 100 words. You have no order details, tracking access or ability to take account actions.</x:v>
      </x:c>
      <x:c r="D39" s="14" t="str">
        <x:v>I’m sorry your notebook parcel is missing. Since you’ve already checked the safe place and asked your household, please contact support with your order number and confirmation of your delivery address so they can open a delivery review.
Support will provide an update within two business days of receiving those details, though the review may take longer to resolve. A replacement or refund can be offered only if the review establishes eligibility, so I can’t promise a replacement arriving tomorrow.</x:v>
      </x:c>
      <x:c r="E39" s="14" t="str">
        <x:v>I'm sorry the parcel is missing. As you have already checked the safe place and your household, please provide your order number and confirm the delivery address so support can open a delivery review. You should receive an update within two business days after those details are received; that does not guarantee resolution within that time. Replacement or refund eligibility depends on the review. I cannot confirm a replacement or promise arrival tomorrow from this policy alone.</x:v>
      </x:c>
      <x:c r="F39" s="14" t="str">
        <x:v>https://github.com/sunhero-7/ai-answer-quality-audit/blob/main/04_responses/raw/CS03-A.txt</x:v>
      </x:c>
      <x:c r="G39" s="14" t="str">
        <x:v>Codex agent; underlying model identifier not exposed</x:v>
      </x:c>
      <x:c r="H39" s="14" t="str">
        <x:v>ff2633f2b1d2644fac72f3aeae81fd6ecf1971e0fc340681ca332c54c6309ad3</x:v>
      </x:c>
    </x:row>
    <x:row r="40" ht="269" customHeight="1">
      <x:c r="A40" s="9" t="str">
        <x:v>CS03-B</x:v>
      </x:c>
      <x:c r="B40" s="9" t="str">
        <x:v>CS03</x:v>
      </x:c>
      <x:c r="C40" s="14" t="str">
        <x:v>Use only this fictional Fern Paperworks policy:
[P1] When tracking says delivered but a parcel is missing, the customer should first check the designated safe place and ask other members of their household.
[P2] If it is still missing, support needs the order number and confirmation of the delivery address to open a delivery review.
[P3] After receiving those details, support provides a review update within two business days. This is an update deadline, not a promise that the review will be resolved then.
[P4] A replacement or refund can be offered only after the delivery review establishes eligibility. This extract does not promise next-day delivery of replacements.
Customer message: “Tracking says my notebook parcel was delivered today, but I cannot find it. I have checked the safe place and asked everyone in my household. Please send a replacement to arrive tomorrow.”
Write a helpful customer-facing reply in no more than 100 words. You have no order details, tracking access or ability to take account actions.</x:v>
      </x:c>
      <x:c r="D40" s="14" t="str">
        <x:v>I’m sorry your notebook parcel is missing. Since you’ve already checked the safe place and asked everyone in your household, please provide your order number and confirm your delivery address so support can open a delivery review.
Support will provide an update within two business days of receiving those details, though the review may take longer to resolve. A replacement or refund depends on the review confirming eligibility, so I can’t promise a replacement will arrive tomorrow.</x:v>
      </x:c>
      <x:c r="E40" s="14" t="str">
        <x:v>I'm sorry the parcel is missing. As you have already checked the safe place and your household, please provide your order number and confirm the delivery address so support can open a delivery review. You should receive an update within two business days after those details are received; that does not guarantee resolution within that time. Replacement or refund eligibility depends on the review. I cannot confirm a replacement or promise arrival tomorrow from this policy alone.</x:v>
      </x:c>
      <x:c r="F40" s="14" t="str">
        <x:v>https://github.com/sunhero-7/ai-answer-quality-audit/blob/main/04_responses/raw/CS03-B.txt</x:v>
      </x:c>
      <x:c r="G40" s="14" t="str">
        <x:v>Codex agent; underlying model identifier not exposed</x:v>
      </x:c>
      <x:c r="H40" s="14" t="str">
        <x:v>ec367168ac463fa09cbf5196c3c69188bcab5e56c01f6accccbf2a4ad4f09501</x:v>
      </x:c>
    </x:row>
    <x:row r="41" ht="269" customHeight="1">
      <x:c r="A41" s="9" t="str">
        <x:v>CS04-A</x:v>
      </x:c>
      <x:c r="B41" s="9" t="str">
        <x:v>CS04</x:v>
      </x:c>
      <x:c r="C41" s="14" t="str">
        <x:v>Use only this fictional Brush Box Club policy:
[P1] Membership is billed on the first day of each month for that whole month.
[P2] A pause for a month must be requested by 23:59 on the 25th of the preceding month. Requests received later cannot pause that month.
[P3] Members may pause one or two consecutive whole months. Billing resumes automatically on the first day of the month following the selected pause.
[P4] A pause does not refund or partly refund the current month's membership charge.
[P5] Support must receive the member's confirmation of the selected eligible pause months before applying a pause.
It is 26 May. Customer message: “Please pause my membership for June and July and refund the unused part of May. If those dates don't work, tell me what happens if I pause July only.” Assume this request is received today.
Draft a customer-facing reply of no more than 120 words. You can explain the policy but cannot modify the membership.</x:v>
      </x:c>
      <x:c r="D41" s="14" t="str">
        <x:v>Your request arrived on 26 May, after the 23:59 deadline on 25 May to pause June. June therefore can’t be paused and will be billed on 1 June. We can’t refund the unused portion of May’s membership charge.
If you pause July only, you won’t be billed for July, and billing will resume automatically on 1 August. Please confirm to support by 23:59 on 25 June that you want a July-only pause. Support must receive that confirmation before applying it.
No changes have been made to your membership.</x:v>
      </x:c>
      <x:c r="E41" s="14" t="str">
        <x:v>The deadline to pause June was 23:59 on 25 May, so today's request is too late for June. July can still be requested by 23:59 on 25 June. If you confirm a July-only pause, July would be paused and billing would resume automatically on 1 August. June would remain billable. A pause cannot refund any unused part of May. Please confirm whether you want July only so support can apply the eligible pause. No membership change has been made here.</x:v>
      </x:c>
      <x:c r="F41" s="14" t="str">
        <x:v>https://github.com/sunhero-7/ai-answer-quality-audit/blob/main/04_responses/raw/CS04-A.txt</x:v>
      </x:c>
      <x:c r="G41" s="14" t="str">
        <x:v>Codex agent; underlying model identifier not exposed</x:v>
      </x:c>
      <x:c r="H41" s="14" t="str">
        <x:v>449422b83fb1bfff21020cf06c3111a13eac8f492cb94ebd87234cfed0ed3278</x:v>
      </x:c>
    </x:row>
    <x:row r="42" ht="269" customHeight="1">
      <x:c r="A42" s="9" t="str">
        <x:v>CS04-B</x:v>
      </x:c>
      <x:c r="B42" s="9" t="str">
        <x:v>CS04</x:v>
      </x:c>
      <x:c r="C42" s="14" t="str">
        <x:v>Use only this fictional Brush Box Club policy:
[P1] Membership is billed on the first day of each month for that whole month.
[P2] A pause for a month must be requested by 23:59 on the 25th of the preceding month. Requests received later cannot pause that month.
[P3] Members may pause one or two consecutive whole months. Billing resumes automatically on the first day of the month following the selected pause.
[P4] A pause does not refund or partly refund the current month's membership charge.
[P5] Support must receive the member's confirmation of the selected eligible pause months before applying a pause.
It is 26 May. Customer message: “Please pause my membership for June and July and refund the unused part of May. If those dates don't work, tell me what happens if I pause July only.” Assume this request is received today.
Draft a customer-facing reply of no more than 120 words. You can explain the policy but cannot modify the membership.</x:v>
      </x:c>
      <x:c r="D42" s="14" t="str">
        <x:v>The deadline to pause June was 23:59 on 25 May. As we received your request on 26 May, June can’t be paused, and your full June membership charge will be billed on 1 June. Pausing also doesn’t provide a refund for the unused part of May.
July is eligible for a pause. If you pause July only, you won’t be billed for July, and billing will resume automatically on 1 August.
Please confirm with support that you’d like to pause July only by 23:59 on 25 June. Support must receive that confirmation before applying the pause. No changes have been made.</x:v>
      </x:c>
      <x:c r="E42" s="14" t="str">
        <x:v>The deadline to pause June was 23:59 on 25 May, so today's request is too late for June. July can still be requested by 23:59 on 25 June. If you confirm a July-only pause, July would be paused and billing would resume automatically on 1 August. June would remain billable. A pause cannot refund any unused part of May. Please confirm whether you want July only so support can apply the eligible pause. No membership change has been made here.</x:v>
      </x:c>
      <x:c r="F42" s="14" t="str">
        <x:v>https://github.com/sunhero-7/ai-answer-quality-audit/blob/main/04_responses/raw/CS04-B.txt</x:v>
      </x:c>
      <x:c r="G42" s="14" t="str">
        <x:v>Codex agent; underlying model identifier not exposed</x:v>
      </x:c>
      <x:c r="H42" s="14" t="str">
        <x:v>cec473f0d3d5d83c395383808eae35f676cce576adbc6f562be01dae62f199e3</x:v>
      </x:c>
    </x:row>
    <x:row r="43" ht="254" customHeight="1">
      <x:c r="A43" s="9" t="str">
        <x:v>CS05-A</x:v>
      </x:c>
      <x:c r="B43" s="9" t="str">
        <x:v>CS05</x:v>
      </x:c>
      <x:c r="C43" s="14" t="str">
        <x:v>Use only this fictional Otter Tableware policy:
[P1] Customers must report an item damaged on arrival within seven calendar days after delivery.
[P2] Support needs the order number, a photo of the damage and a photo of the outer packaging before reviewing a damage claim. The customer should keep both the item and packaging until the review is complete.
[P3] Once a claim is approved, the customer may choose an item-price refund or a replacement if that item is in stock. For a multi-item order, the refund covers only the damaged item.
[P4] Support supplies any necessary return instructions and pays any return postage it requires. Customers should not post items back before receiving those instructions.
Customer message: “My order arrived three days ago. One £12 bowl is chipped; the other two £12 bowls are fine. I still have the box. Can you refund all £36? Shall I send everything back now?”
Draft a customer-facing reply in no more than 120 words. You have no photos, order number, stock information or authority to approve the claim.</x:v>
      </x:c>
      <x:c r="D43" s="14" t="str">
        <x:v>I’m sorry your bowl arrived chipped. You’ve reported it within our seven-day window. Please send your order number, a photo of the chipped bowl and a photo of the outer packaging so we can review your claim.
If approved, you can choose a £12 refund for the damaged bowl or a replacement if it’s in stock. The two undamaged bowls aren’t eligible for a damage refund, so we can’t refund all £36.
Please keep the chipped bowl and packaging until the review is complete. Don’t send anything back yet—we’ll provide any necessary return instructions and pay any return postage we require.</x:v>
      </x:c>
      <x:c r="E43" s="14" t="str">
        <x:v>I'm sorry one bowl arrived chipped. Your report is within the seven-day window. Please provide the order number, a photo of the chip and a photo of the outer packaging, and keep the damaged bowl and packaging while support reviews the claim. If approved, you can choose a £12 refund for the damaged bowl or a replacement if it is in stock; this policy does not cover refunding the two undamaged bowls. Please do not send anything back yet. Support will provide any necessary return instructions and pay any return postage it requires.</x:v>
      </x:c>
      <x:c r="F43" s="14" t="str">
        <x:v>https://github.com/sunhero-7/ai-answer-quality-audit/blob/main/04_responses/raw/CS05-A.txt</x:v>
      </x:c>
      <x:c r="G43" s="14" t="str">
        <x:v>Codex agent; underlying model identifier not exposed</x:v>
      </x:c>
      <x:c r="H43" s="14" t="str">
        <x:v>e18280714ef7d14b6d9d3cad5b3fbb74fe499f37706bff2a3400d477e10a1412</x:v>
      </x:c>
    </x:row>
    <x:row r="44" ht="254" customHeight="1">
      <x:c r="A44" s="9" t="str">
        <x:v>CS05-B</x:v>
      </x:c>
      <x:c r="B44" s="9" t="str">
        <x:v>CS05</x:v>
      </x:c>
      <x:c r="C44" s="14" t="str">
        <x:v>Use only this fictional Otter Tableware policy:
[P1] Customers must report an item damaged on arrival within seven calendar days after delivery.
[P2] Support needs the order number, a photo of the damage and a photo of the outer packaging before reviewing a damage claim. The customer should keep both the item and packaging until the review is complete.
[P3] Once a claim is approved, the customer may choose an item-price refund or a replacement if that item is in stock. For a multi-item order, the refund covers only the damaged item.
[P4] Support supplies any necessary return instructions and pays any return postage it requires. Customers should not post items back before receiving those instructions.
Customer message: “My order arrived three days ago. One £12 bowl is chipped; the other two £12 bowls are fine. I still have the box. Can you refund all £36? Shall I send everything back now?”
Draft a customer-facing reply in no more than 120 words. You have no photos, order number, stock information or authority to approve the claim.</x:v>
      </x:c>
      <x:c r="D44" s="14" t="str">
        <x:v>I’m sorry one of your bowls arrived chipped. You’re within the seven-calendar-day reporting window. Please send your order number, a photo of the damage and a photo of the outer packaging so we can review your claim.
If approved, you can choose a £12 refund for the damaged bowl or a replacement if it’s in stock. We can’t refund all £36 because the other two bowls are undamaged.
Please keep the damaged bowl and packaging until the review is complete, and don’t send anything back yet. If a return is required, we’ll provide instructions and pay the return postage.</x:v>
      </x:c>
      <x:c r="E44" s="14" t="str">
        <x:v>I'm sorry one bowl arrived chipped. Your report is within the seven-day window. Please provide the order number, a photo of the chip and a photo of the outer packaging, and keep the damaged bowl and packaging while support reviews the claim. If approved, you can choose a £12 refund for the damaged bowl or a replacement if it is in stock; this policy does not cover refunding the two undamaged bowls. Please do not send anything back yet. Support will provide any necessary return instructions and pay any return postage it requires.</x:v>
      </x:c>
      <x:c r="F44" s="14" t="str">
        <x:v>https://github.com/sunhero-7/ai-answer-quality-audit/blob/main/04_responses/raw/CS05-B.txt</x:v>
      </x:c>
      <x:c r="G44" s="14" t="str">
        <x:v>Codex agent; underlying model identifier not exposed</x:v>
      </x:c>
      <x:c r="H44" s="14" t="str">
        <x:v>7a041a4a75122b0a30a05525848b130a44a218a697c8ee75ef094d3a3c90646d</x:v>
      </x:c>
    </x:row>
    <x:row r="45" ht="284" customHeight="1">
      <x:c r="A45" s="9" t="str">
        <x:v>CS06-A</x:v>
      </x:c>
      <x:c r="B45" s="9" t="str">
        <x:v>CS06</x:v>
      </x:c>
      <x:c r="C45" s="14" t="str">
        <x:v>Use only this fictional Little Lantern Workshops policy:
[P1] For a Saturday 10:00 workshop, a cancellation received by Friday 10:00 inclusive receives a full refund of the workshop fee.
[P2] Cancellations received after Friday 10:00 receive a 50% refund of the workshop fee. The time of receipt, not the time a staff member reads the message, determines the amount.
[P3] If the customer explicitly chooses cancellation, support can process the eligible refund after locating the booking using the booking reference. Refunds reach the original payment method within five business days after processing.
[P4] All times in this policy and in the message details below use the same local time zone. There is no separate booking fee.
Message received Friday at exactly 10:00: “Please cancel my place at tomorrow's 10:00 workshop. I paid £48. I don't have my booking reference with this message. Does it matter if nobody reads this until the afternoon?”
Draft a customer-facing reply of no more than 100 words. You have no booking access and cannot process the cancellation yourself.</x:v>
      </x:c>
      <x:c r="D45" s="14" t="str">
        <x:v>Your message arrived exactly at Friday’s 10:00 deadline, so you’re eligible for a full £48 refund. It doesn’t matter if it’s read in the afternoon—the receipt time determines your refund.
Please send your booking reference so support can locate your booking and process your cancellation and refund. I don’t have booking access, so I can’t process it myself. Once processed, your refund will reach your original payment method within five business days.</x:v>
      </x:c>
      <x:c r="E45" s="14" t="str">
        <x:v>Your message was received exactly at Friday 10:00, which is included in the full-refund window, so the eligible refund is £48. It does not matter if staff read it that afternoon: receipt time determines the amount. Please provide your booking reference so support can locate and cancel the booking and process the refund. The refund should reach your original payment method within five business days after processing. I cannot confirm that those actions have been completed here.</x:v>
      </x:c>
      <x:c r="F45" s="14" t="str">
        <x:v>https://github.com/sunhero-7/ai-answer-quality-audit/blob/main/04_responses/raw/CS06-A.txt</x:v>
      </x:c>
      <x:c r="G45" s="14" t="str">
        <x:v>Codex agent; underlying model identifier not exposed</x:v>
      </x:c>
      <x:c r="H45" s="14" t="str">
        <x:v>a7a54cec1d854d4fa03b32fe3eb26b22c5c2d5b6b1b972b4a16088cb74d03f1f</x:v>
      </x:c>
    </x:row>
    <x:row r="46" ht="284" customHeight="1">
      <x:c r="A46" s="9" t="str">
        <x:v>CS06-B</x:v>
      </x:c>
      <x:c r="B46" s="9" t="str">
        <x:v>CS06</x:v>
      </x:c>
      <x:c r="C46" s="14" t="str">
        <x:v>Use only this fictional Little Lantern Workshops policy:
[P1] For a Saturday 10:00 workshop, a cancellation received by Friday 10:00 inclusive receives a full refund of the workshop fee.
[P2] Cancellations received after Friday 10:00 receive a 50% refund of the workshop fee. The time of receipt, not the time a staff member reads the message, determines the amount.
[P3] If the customer explicitly chooses cancellation, support can process the eligible refund after locating the booking using the booking reference. Refunds reach the original payment method within five business days after processing.
[P4] All times in this policy and in the message details below use the same local time zone. There is no separate booking fee.
Message received Friday at exactly 10:00: “Please cancel my place at tomorrow's 10:00 workshop. I paid £48. I don't have my booking reference with this message. Does it matter if nobody reads this until the afternoon?”
Draft a customer-facing reply of no more than 100 words. You have no booking access and cannot process the cancellation yourself.</x:v>
      </x:c>
      <x:c r="D46" s="14" t="str">
        <x:v>Your message was received at exactly 10:00 on Friday, so you’re eligible for a full £48 refund. It doesn’t matter if staff read it in the afternoon—the receipt time determines your refund.
Please send your booking reference so support can locate your booking and process your cancellation and refund. I can’t access bookings or process cancellations here. Your refund will reach your original payment method within five business days after processing.</x:v>
      </x:c>
      <x:c r="E46" s="14" t="str">
        <x:v>Your message was received exactly at Friday 10:00, which is included in the full-refund window, so the eligible refund is £48. It does not matter if staff read it that afternoon: receipt time determines the amount. Please provide your booking reference so support can locate and cancel the booking and process the refund. The refund should reach your original payment method within five business days after processing. I cannot confirm that those actions have been completed here.</x:v>
      </x:c>
      <x:c r="F46" s="14" t="str">
        <x:v>https://github.com/sunhero-7/ai-answer-quality-audit/blob/main/04_responses/raw/CS06-B.txt</x:v>
      </x:c>
      <x:c r="G46" s="14" t="str">
        <x:v>Codex agent; underlying model identifier not exposed</x:v>
      </x:c>
      <x:c r="H46" s="14" t="str">
        <x:v>a7f2f6268964731aa6f029f531a8589640a26df0475c7e2a163c3b80800952c3</x:v>
      </x:c>
    </x:row>
    <x:row r="47" ht="269" customHeight="1">
      <x:c r="A47" s="9" t="str">
        <x:v>CS07-A</x:v>
      </x:c>
      <x:c r="B47" s="9" t="str">
        <x:v>CS07</x:v>
      </x:c>
      <x:c r="C47" s="14" t="str">
        <x:v>Use only this fictional Meadow Stationery policy:
[P1] The code DRAW10 takes 10% off full-price stationery items. It does not apply to gift cards, delivery charges or already-discounted items.
[P2] A free eraser is included only when the eligible stationery subtotal, after discounts, is at least £30. Gift cards and delivery charges do not count towards this threshold.
[P3] Standard delivery costs £4 for this order. DRAW10 can be used once on an order and has no minimum spend.
[P4] Only one promotional code may be applied to an order. Prices below already include any applicable taxes.
Customer message: “My basket has £30 of full-price stationery and a £10 gift card. I want to use DRAW10, plus another 5%-off code. Including standard delivery, what would I pay using DRAW10 alone, and would I get the free eraser?”
Draft a customer-facing reply in no more than 110 words. Show the main calculation. You cannot place or alter an order.</x:v>
      </x:c>
      <x:c r="D47" s="14" t="str">
        <x:v>Using DRAW10 alone, your total would be **£41**:
£30 stationery − £3 discount + £10 gift card + £4 standard delivery = **£41**.
You wouldn’t receive the free eraser because your eligible stationery subtotal after the discount is £27, below the £30 threshold. The gift card and delivery charge don’t count towards that threshold.
Only one promotional code can be applied, so DRAW10 can’t be combined with the additional 5%-off code.</x:v>
      </x:c>
      <x:c r="E47" s="14" t="str">
        <x:v>DRAW10 saves 10% of £30, which is £3, making the stationery subtotal £27. The £10 gift card and £4 delivery charge are not discounted, so your total using DRAW10 alone would be £27 + £10 + £4 = £41. You would not qualify for the free eraser: the eligible subtotal after discount is £27, below £30. Gift cards and delivery do not count towards that threshold. Only one promotional code is allowed, so DRAW10 cannot be combined with the additional 5%-off code.</x:v>
      </x:c>
      <x:c r="F47" s="14" t="str">
        <x:v>https://github.com/sunhero-7/ai-answer-quality-audit/blob/main/04_responses/raw/CS07-A.txt</x:v>
      </x:c>
      <x:c r="G47" s="14" t="str">
        <x:v>Codex agent; underlying model identifier not exposed</x:v>
      </x:c>
      <x:c r="H47" s="14" t="str">
        <x:v>515a059bd06b2afe24d477590589281dd1c5d6e007e73fcc21fa9407d09c38c7</x:v>
      </x:c>
    </x:row>
    <x:row r="48" ht="269" customHeight="1">
      <x:c r="A48" s="9" t="str">
        <x:v>CS07-B</x:v>
      </x:c>
      <x:c r="B48" s="9" t="str">
        <x:v>CS07</x:v>
      </x:c>
      <x:c r="C48" s="14" t="str">
        <x:v>Use only this fictional Meadow Stationery policy:
[P1] The code DRAW10 takes 10% off full-price stationery items. It does not apply to gift cards, delivery charges or already-discounted items.
[P2] A free eraser is included only when the eligible stationery subtotal, after discounts, is at least £30. Gift cards and delivery charges do not count towards this threshold.
[P3] Standard delivery costs £4 for this order. DRAW10 can be used once on an order and has no minimum spend.
[P4] Only one promotional code may be applied to an order. Prices below already include any applicable taxes.
Customer message: “My basket has £30 of full-price stationery and a £10 gift card. I want to use DRAW10, plus another 5%-off code. Including standard delivery, what would I pay using DRAW10 alone, and would I get the free eraser?”
Draft a customer-facing reply in no more than 110 words. Show the main calculation. You cannot place or alter an order.</x:v>
      </x:c>
      <x:c r="D48" s="14" t="str">
        <x:v>Using DRAW10 alone, your total would be **£41**:
£30 stationery − £3 discount + £10 gift card + £4 standard delivery = **£41**.
You wouldn’t receive the free eraser because your eligible stationery subtotal after the discount is £27, below the £30 threshold. Gift cards and delivery don’t count towards that threshold.
Only one promotional code can be used per order, so DRAW10 can’t be combined with the extra 5%-off code.</x:v>
      </x:c>
      <x:c r="E48" s="14" t="str">
        <x:v>DRAW10 saves 10% of £30, which is £3, making the stationery subtotal £27. The £10 gift card and £4 delivery charge are not discounted, so your total using DRAW10 alone would be £27 + £10 + £4 = £41. You would not qualify for the free eraser: the eligible subtotal after discount is £27, below £30. Gift cards and delivery do not count towards that threshold. Only one promotional code is allowed, so DRAW10 cannot be combined with the additional 5%-off code.</x:v>
      </x:c>
      <x:c r="F48" s="14" t="str">
        <x:v>https://github.com/sunhero-7/ai-answer-quality-audit/blob/main/04_responses/raw/CS07-B.txt</x:v>
      </x:c>
      <x:c r="G48" s="14" t="str">
        <x:v>Codex agent; underlying model identifier not exposed</x:v>
      </x:c>
      <x:c r="H48" s="14" t="str">
        <x:v>748e20f601ba7320f41f40eb8eb516a01a3b12b6b0a9682c7a596df1ebfbea15</x:v>
      </x:c>
    </x:row>
    <x:row r="49" ht="269" customHeight="1">
      <x:c r="A49" s="9" t="str">
        <x:v>CS08-A</x:v>
      </x:c>
      <x:c r="B49" s="9" t="str">
        <x:v>CS08</x:v>
      </x:c>
      <x:c r="C49" s="14" t="str">
        <x:v>Use only this fictional Elm Makers Studio information:
[P1] The front entrance has three steps. A step-free side entrance is available during staffed hours, 09:00–17:00 Monday–Friday.
[P2] Visitors who need the side entrance should email support with their visit date and arrival time at least one business day before the visit so staff can arrange access.
[P3] The studio room is on the ground floor. The accessible toilet's doorway clear width is not stated in this information; support can ask the building team for the measurement.
[P4] Booking a workshop does not automatically arrange side-entrance access. No access arrangement is confirmed until support replies to confirm it.
Customer message received Monday at 11:00: “I'm booked for a workshop this Wednesday at 14:00 and plan to arrive at 13:45. I use a wheelchair. Can I get in without steps, and is the toilet doorway at least 85 cm wide?” Assume this week has no public holidays.
Write a customer-facing reply of no more than 120 words. You have only this information and cannot contact the building team or make access arrangements yourself.</x:v>
      </x:c>
      <x:c r="D49" s="14" t="str">
        <x:v>The front entrance has three steps, but a step-free side entrance is available Monday–Friday, 09:00–17:00. Your Wednesday 13:45 arrival falls within those hours, and the studio room is on the ground floor.
Please email support with your visit date and arrival time at least one business day beforehand. Your workshop booking doesn’t arrange side-entrance access; it is only confirmed when support replies to confirm.
The toilet doorway’s clear width isn’t provided, so I can’t confirm it’s at least 85 cm. Please ask support to request the measurement from the building team.</x:v>
      </x:c>
      <x:c r="E49" s="14" t="str">
        <x:v>The side entrance offers step-free access during weekday staffed hours, so your planned Wednesday 13:45 arrival falls within that window. Please email support with your visit date and 13:45 arrival time; Monday is early enough to meet the one-business-day notice requirement. Your workshop booking does not itself arrange access, so wait for support's confirmation. The studio room is on the ground floor. The toilet doorway's clear width is not supplied, so I cannot confirm it is at least 85 cm. Ask support to obtain that measurement from the building team before your visit.</x:v>
      </x:c>
      <x:c r="F49" s="14" t="str">
        <x:v>https://github.com/sunhero-7/ai-answer-quality-audit/blob/main/04_responses/raw/CS08-A.txt</x:v>
      </x:c>
      <x:c r="G49" s="14" t="str">
        <x:v>Codex agent; underlying model identifier not exposed</x:v>
      </x:c>
      <x:c r="H49" s="14" t="str">
        <x:v>ea057cbf6220f2286949b703cedb208980c5a6086efe446531af7e3e4edd8aba</x:v>
      </x:c>
    </x:row>
    <x:row r="50" ht="269" customHeight="1">
      <x:c r="A50" s="9" t="str">
        <x:v>CS08-B</x:v>
      </x:c>
      <x:c r="B50" s="9" t="str">
        <x:v>CS08</x:v>
      </x:c>
      <x:c r="C50" s="14" t="str">
        <x:v>Use only this fictional Elm Makers Studio information:
[P1] The front entrance has three steps. A step-free side entrance is available during staffed hours, 09:00–17:00 Monday–Friday.
[P2] Visitors who need the side entrance should email support with their visit date and arrival time at least one business day before the visit so staff can arrange access.
[P3] The studio room is on the ground floor. The accessible toilet's doorway clear width is not stated in this information; support can ask the building team for the measurement.
[P4] Booking a workshop does not automatically arrange side-entrance access. No access arrangement is confirmed until support replies to confirm it.
Customer message received Monday at 11:00: “I'm booked for a workshop this Wednesday at 14:00 and plan to arrive at 13:45. I use a wheelchair. Can I get in without steps, and is the toilet doorway at least 85 cm wide?” Assume this week has no public holidays.
Write a customer-facing reply of no more than 120 words. You have only this information and cannot contact the building team or make access arrangements yourself.</x:v>
      </x:c>
      <x:c r="D50" s="14" t="str">
        <x:v>There is a step-free side entrance, and your planned Wednesday arrival at 13:45 falls within staffed hours (09:00–17:00, Monday–Friday). Please email support with your visit date and arrival time at least one business day before your visit so staff can arrange access. Your workshop booking does not automatically arrange this; access is only confirmed once support replies to confirm it.
The studio room is on the ground floor. I can’t confirm whether the accessible toilet’s doorway is at least 85 cm wide because its clear width isn’t provided. Please ask support to obtain the measurement from the building team.</x:v>
      </x:c>
      <x:c r="E50" s="14" t="str">
        <x:v>The side entrance offers step-free access during weekday staffed hours, so your planned Wednesday 13:45 arrival falls within that window. Please email support with your visit date and 13:45 arrival time; Monday is early enough to meet the one-business-day notice requirement. Your workshop booking does not itself arrange access, so wait for support's confirmation. The studio room is on the ground floor. The toilet doorway's clear width is not supplied, so I cannot confirm it is at least 85 cm. Ask support to obtain that measurement from the building team before your visit.</x:v>
      </x:c>
      <x:c r="F50" s="14" t="str">
        <x:v>https://github.com/sunhero-7/ai-answer-quality-audit/blob/main/04_responses/raw/CS08-B.txt</x:v>
      </x:c>
      <x:c r="G50" s="14" t="str">
        <x:v>Codex agent; underlying model identifier not exposed</x:v>
      </x:c>
      <x:c r="H50" s="14" t="str">
        <x:v>82dcf0d43524b751f2d6b9e0a89848ec0c607db244cd9315ed95df8f6f5c5152</x:v>
      </x:c>
    </x:row>
    <x:row r="51" ht="269" customHeight="1">
      <x:c r="A51" s="9" t="str">
        <x:v>CS09-A</x:v>
      </x:c>
      <x:c r="B51" s="9" t="str">
        <x:v>CS09</x:v>
      </x:c>
      <x:c r="C51" s="14" t="str">
        <x:v>Use only this fictional North Quay Prints policy:
[P1] Support can edit a delivery address only while an order is marked 'processing'. Once it is marked 'dispatched', support cannot edit the address on that shipment.
[P2] A dispatched parcel's tracking page may offer a carrier-managed redirection request. Available options depend on the carrier and destination; a request does not guarantee redirection.
[P3] If a parcel is returned to North Quay Prints, support will contact the customer to discuss next steps. This extract gives no automatic refund or free-reshipment promise for an incorrectly supplied address.
[P4] Customers should not send payment-card details in an address enquiry.
Customer message: “I put number 16 instead of 61 in the delivery address. My order is already marked dispatched. Please change it now. If the parcel comes back, will you send it out again for free? Should I email my card number?”
Draft a helpful customer-facing reply in no more than 110 words. You cannot inspect the tracking page or change any shipment details.</x:v>
      </x:c>
      <x:c r="D51" s="14" t="str">
        <x:v>I’m sorry about the address mix-up. Because your order is already marked dispatched, we can’t change the delivery address on this shipment.
Please check your tracking page for a carrier-managed redirection option to request changing number 16 to 61. Availability depends on the carrier and destination, and submitting a request doesn’t guarantee redirection.
If the parcel is returned to North Quay Prints, our support team will contact you to discuss next steps. We can’t promise free reshipment for an incorrectly supplied address.
Please don’t email your card number or send any payment-card details with your address enquiry.</x:v>
      </x:c>
      <x:c r="E51" s="14" t="str">
        <x:v>I'm sorry, but support cannot edit the shipment address once the order is marked dispatched. Please check your tracking page for a carrier-managed redirection option; it may be available, but requesting it does not guarantee redirection. If the parcel is returned to North Quay Prints, support will contact you to discuss next steps. This policy does not promise free reshipment or an automatic refund for an incorrectly supplied address. Please do not email your payment-card details. I cannot confirm an address change or redirection here.</x:v>
      </x:c>
      <x:c r="F51" s="14" t="str">
        <x:v>https://github.com/sunhero-7/ai-answer-quality-audit/blob/main/04_responses/raw/CS09-A.txt</x:v>
      </x:c>
      <x:c r="G51" s="14" t="str">
        <x:v>Codex agent; underlying model identifier not exposed</x:v>
      </x:c>
      <x:c r="H51" s="14" t="str">
        <x:v>d50b50a16ca37064afb724b2ed09585602ca002f5bbf4bca000cb11cb08ef0c1</x:v>
      </x:c>
    </x:row>
    <x:row r="52" ht="269" customHeight="1">
      <x:c r="A52" s="9" t="str">
        <x:v>CS09-B</x:v>
      </x:c>
      <x:c r="B52" s="9" t="str">
        <x:v>CS09</x:v>
      </x:c>
      <x:c r="C52" s="14" t="str">
        <x:v>Use only this fictional North Quay Prints policy:
[P1] Support can edit a delivery address only while an order is marked 'processing'. Once it is marked 'dispatched', support cannot edit the address on that shipment.
[P2] A dispatched parcel's tracking page may offer a carrier-managed redirection request. Available options depend on the carrier and destination; a request does not guarantee redirection.
[P3] If a parcel is returned to North Quay Prints, support will contact the customer to discuss next steps. This extract gives no automatic refund or free-reshipment promise for an incorrectly supplied address.
[P4] Customers should not send payment-card details in an address enquiry.
Customer message: “I put number 16 instead of 61 in the delivery address. My order is already marked dispatched. Please change it now. If the parcel comes back, will you send it out again for free? Should I email my card number?”
Draft a helpful customer-facing reply in no more than 110 words. You cannot inspect the tracking page or change any shipment details.</x:v>
      </x:c>
      <x:c r="D52" s="14" t="str">
        <x:v>I’m sorry about the address mix-up. As your order has already been dispatched, support can’t change the address on this shipment.
Please check your tracking page for a carrier-managed redirection option to number 61. Availability depends on the carrier and destination, and submitting a request doesn’t guarantee redirection.
If the parcel is returned to North Quay Prints, support will contact you to discuss next steps. We can’t promise a free reshipment.
Please don’t email your card number or any other payment-card details.</x:v>
      </x:c>
      <x:c r="E52" s="14" t="str">
        <x:v>I'm sorry, but support cannot edit the shipment address once the order is marked dispatched. Please check your tracking page for a carrier-managed redirection option; it may be available, but requesting it does not guarantee redirection. If the parcel is returned to North Quay Prints, support will contact you to discuss next steps. This policy does not promise free reshipment or an automatic refund for an incorrectly supplied address. Please do not email your payment-card details. I cannot confirm an address change or redirection here.</x:v>
      </x:c>
      <x:c r="F52" s="14" t="str">
        <x:v>https://github.com/sunhero-7/ai-answer-quality-audit/blob/main/04_responses/raw/CS09-B.txt</x:v>
      </x:c>
      <x:c r="G52" s="14" t="str">
        <x:v>Codex agent; underlying model identifier not exposed</x:v>
      </x:c>
      <x:c r="H52" s="14" t="str">
        <x:v>a8d77248aa076952a0dd3655c01823957a28df4573740c0a8d7136ce93146dae</x:v>
      </x:c>
    </x:row>
    <x:row r="53" ht="269" customHeight="1">
      <x:c r="A53" s="9" t="str">
        <x:v>CS10-A</x:v>
      </x:c>
      <x:c r="B53" s="9" t="str">
        <x:v>CS10</x:v>
      </x:c>
      <x:c r="C53" s="14" t="str">
        <x:v>Use only this fictional Willow Clay Sessions policy:
[P1] The evening pottery class is for participants aged 16 or over. The family class is for participants aged 8 or over; anyone under 16 in a family class must attend with a paying adult.
[P2] Gift vouchers may be redeemed against either class, subject to age rules and available places. A voucher does not reserve a seat.
[P3] Vouchers expire 12 months after issue. A class must take place on or before the printed expiry date; making the booking before expiry is not enough.
[P4] Support needs the intended participant's age, class date and voucher expiry date before checking a suitable booking. This extract contains no timetable or availability information.
Customer message: “I have a voucher for my nephew. I'd like to put him in an evening class next month. I can book before the voucher expires, but the class might be after that. Can you confirm a place?” The nephew's age and the two dates are not provided.
Draft a customer-facing reply in no more than 120 words. You cannot check a timetable or reserve a place.</x:v>
      </x:c>
      <x:c r="D53" s="14" t="str">
        <x:v>Evening classes are for participants aged 16 or over. The class must take place on or before your voucher’s printed expiry date; booking before expiry isn’t enough.
Please send your nephew’s age, your intended class date and the voucher’s expiry date so support can check a suitable booking.
If your nephew is aged 8–15, he can attend a family class with a paying adult instead.
Vouchers can be redeemed against either class, subject to age rules and availability, but don’t reserve a seat. I can’t check availability, reserve a place or confirm one here.</x:v>
      </x:c>
      <x:c r="E53" s="14" t="str">
        <x:v>Please provide your nephew's age, the intended class date and the voucher's printed expiry date so support can check a suitable booking. Evening classes require participants to be at least 16. The class itself must take place on or before the voucher expires; booking before expiry is not sufficient. The voucher does not reserve a seat, and places still need checking. If he is 8–15, a family class may be suitable with a paying adult, subject to dates and availability. I cannot confirm a place from the information supplied.</x:v>
      </x:c>
      <x:c r="F53" s="14" t="str">
        <x:v>https://github.com/sunhero-7/ai-answer-quality-audit/blob/main/04_responses/raw/CS10-A.txt</x:v>
      </x:c>
      <x:c r="G53" s="14" t="str">
        <x:v>Codex agent; underlying model identifier not exposed</x:v>
      </x:c>
      <x:c r="H53" s="14" t="str">
        <x:v>42c230dd47cb07d6355d56b66765953e488be998fb83997ac8635aff0519cba2</x:v>
      </x:c>
    </x:row>
    <x:row r="54" ht="269" customHeight="1">
      <x:c r="A54" s="9" t="str">
        <x:v>CS10-B</x:v>
      </x:c>
      <x:c r="B54" s="9" t="str">
        <x:v>CS10</x:v>
      </x:c>
      <x:c r="C54" s="14" t="str">
        <x:v>Use only this fictional Willow Clay Sessions policy:
[P1] The evening pottery class is for participants aged 16 or over. The family class is for participants aged 8 or over; anyone under 16 in a family class must attend with a paying adult.
[P2] Gift vouchers may be redeemed against either class, subject to age rules and available places. A voucher does not reserve a seat.
[P3] Vouchers expire 12 months after issue. A class must take place on or before the printed expiry date; making the booking before expiry is not enough.
[P4] Support needs the intended participant's age, class date and voucher expiry date before checking a suitable booking. This extract contains no timetable or availability information.
Customer message: “I have a voucher for my nephew. I'd like to put him in an evening class next month. I can book before the voucher expires, but the class might be after that. Can you confirm a place?” The nephew's age and the two dates are not provided.
Draft a customer-facing reply in no more than 120 words. You cannot check a timetable or reserve a place.</x:v>
      </x:c>
      <x:c r="D54" s="14" t="str">
        <x:v>You can use the voucher for an evening class if your nephew is 16 or over, subject to available places. The class must take place on or before the voucher’s printed expiry date; booking before expiry isn’t enough.
Please provide your nephew’s age, the intended class date and the voucher’s printed expiry date so support can check a suitable booking.
If he’s aged 8–15, he can attend a family class with a paying adult.
I can’t check the timetable or confirm or reserve a place here, and the voucher itself doesn’t reserve a seat.</x:v>
      </x:c>
      <x:c r="E54" s="14" t="str">
        <x:v>Please provide your nephew's age, the intended class date and the voucher's printed expiry date so support can check a suitable booking. Evening classes require participants to be at least 16. The class itself must take place on or before the voucher expires; booking before expiry is not sufficient. The voucher does not reserve a seat, and places still need checking. If he is 8–15, a family class may be suitable with a paying adult, subject to dates and availability. I cannot confirm a place from the information supplied.</x:v>
      </x:c>
      <x:c r="F54" s="14" t="str">
        <x:v>https://github.com/sunhero-7/ai-answer-quality-audit/blob/main/04_responses/raw/CS10-B.txt</x:v>
      </x:c>
      <x:c r="G54" s="14" t="str">
        <x:v>Codex agent; underlying model identifier not exposed</x:v>
      </x:c>
      <x:c r="H54" s="14" t="str">
        <x:v>86069f3f967617a3e9aeb725d3d1c10d19af8a1146539307a744b0754af35d18</x:v>
      </x:c>
    </x:row>
    <x:row r="55" ht="239" customHeight="1">
      <x:c r="A55" s="9" t="str">
        <x:v>RC03-A</x:v>
      </x:c>
      <x:c r="B55" s="9" t="str">
        <x:v>RC03</x:v>
      </x:c>
      <x:c r="C55" s="14" t="str">
        <x:v>Read this original passage:
[S1] In January, the Hill Street repair group proposed opening its workshop every Sunday from April.
[S2] At the February meeting, two volunteers said they could not commit to a weekly Sunday shift.
[S3] The group then agreed to run three Sunday sessions in April and review attendance before making a permanent decision.
[S4] A March newsletter mistakenly described the Sunday opening as permanent.
[S5] The organiser published a correction the next day, confirming that only the three April sessions had been agreed.
[S6] At the end of March, no April attendance figures were yet available.
Answer in three numbered points, using no more than 110 words in total:
1. State the original proposal and the decision actually agreed.
2. Explain what the correction changed in the public account.
3. State whether the passage establishes that the Sunday trial was successful, with a reason.</x:v>
      </x:c>
      <x:c r="D55" s="14" t="str">
        <x:v>1. The original proposal was to open the workshop every Sunday from April. The group instead agreed to three Sunday sessions in April, followed by an attendance review before deciding whether to make Sunday opening permanent.
2. The correction replaced the newsletter’s mistaken claim of permanent Sunday opening with confirmation that only the three April sessions had been agreed.
3. No. The passage does not establish that the trial was successful: at the end of March, no April attendance figures were available.</x:v>
      </x:c>
      <x:c r="E55" s="14" t="str">
        <x:v>1. The January proposal was weekly Sunday opening from April. The group instead agreed to three April Sunday sessions, followed by an attendance review before any permanent decision.
2. The correction withdrew the newsletter's mistaken description of permanent Sunday opening and confirmed the three-session agreement.
3. Success is not established: by the end of March, the April trial had not supplied any attendance figures, and no trial results are reported.</x:v>
      </x:c>
      <x:c r="F55" s="14" t="str">
        <x:v>https://github.com/sunhero-7/ai-answer-quality-audit/blob/main/04_responses/raw/RC03-A.txt</x:v>
      </x:c>
      <x:c r="G55" s="14" t="str">
        <x:v>Codex agent; underlying model identifier not exposed</x:v>
      </x:c>
      <x:c r="H55" s="14" t="str">
        <x:v>a9bd361db816fdd0a1ddca9203a65267b3f04aee0dfa35839fee63243a0e7ec2</x:v>
      </x:c>
    </x:row>
    <x:row r="56" ht="239" customHeight="1">
      <x:c r="A56" s="9" t="str">
        <x:v>RC03-B</x:v>
      </x:c>
      <x:c r="B56" s="9" t="str">
        <x:v>RC03</x:v>
      </x:c>
      <x:c r="C56" s="14" t="str">
        <x:v>Read this original passage:
[S1] In January, the Hill Street repair group proposed opening its workshop every Sunday from April.
[S2] At the February meeting, two volunteers said they could not commit to a weekly Sunday shift.
[S3] The group then agreed to run three Sunday sessions in April and review attendance before making a permanent decision.
[S4] A March newsletter mistakenly described the Sunday opening as permanent.
[S5] The organiser published a correction the next day, confirming that only the three April sessions had been agreed.
[S6] At the end of March, no April attendance figures were yet available.
Answer in three numbered points, using no more than 110 words in total:
1. State the original proposal and the decision actually agreed.
2. Explain what the correction changed in the public account.
3. State whether the passage establishes that the Sunday trial was successful, with a reason.</x:v>
      </x:c>
      <x:c r="D56" s="14" t="str">
        <x:v>1. The original proposal was to open the workshop every Sunday from April. The group instead agreed to hold three Sunday sessions in April and review attendance before deciding whether to make Sunday opening permanent.
2. The correction replaced the newsletter’s mistaken claim that Sunday opening was permanent with confirmation that only three April sessions had been agreed.
3. No. The passage does not establish that the trial was successful: no April attendance figures were available at the end of March, and no trial results are reported.</x:v>
      </x:c>
      <x:c r="E56" s="14" t="str">
        <x:v>1. The January proposal was weekly Sunday opening from April. The group instead agreed to three April Sunday sessions, followed by an attendance review before any permanent decision.
2. The correction withdrew the newsletter's mistaken description of permanent Sunday opening and confirmed the three-session agreement.
3. Success is not established: by the end of March, the April trial had not supplied any attendance figures, and no trial results are reported.</x:v>
      </x:c>
      <x:c r="F56" s="14" t="str">
        <x:v>https://github.com/sunhero-7/ai-answer-quality-audit/blob/main/04_responses/raw/RC03-B.txt</x:v>
      </x:c>
      <x:c r="G56" s="14" t="str">
        <x:v>Codex agent; underlying model identifier not exposed</x:v>
      </x:c>
      <x:c r="H56" s="14" t="str">
        <x:v>a90382086261cd8960156480bc43109fd5930bbb0b2cd05208c2097e65486a82</x:v>
      </x:c>
    </x:row>
    <x:row r="57" ht="224" customHeight="1">
      <x:c r="A57" s="9" t="str">
        <x:v>RC04-A</x:v>
      </x:c>
      <x:c r="B57" s="9" t="str">
        <x:v>RC04</x:v>
      </x:c>
      <x:c r="C57" s="14" t="str">
        <x:v>Read this original passage:
[S1] Bea and Noor were sorting materials in the community hall.
[S2] Bea handed Noor a notebook beside the window.
[S3] She said, “Please leave it on the blue chair; I'll collect it after rehearsal.”
[S4] Noor then carried the notebook to the blue chair.
[S5] Later, the caretaker moved the blue chair into the store cupboard, with the notebook still on its seat.
[S6] The passage gives no later conversation about the notebook.
Answer in three numbered points, using no more than 100 words in total:
1. Who moves the notebook to the blue chair?
2. Does the passage unambiguously identify who says they will collect it? Explain briefly.
3. Where is the notebook last explicitly located?</x:v>
      </x:c>
      <x:c r="D57" s="14" t="str">
        <x:v>1. Noor moves the notebook to the blue chair.
2. No. “She” could refer to Bea or Noor, so the passage does not unambiguously identify who says they will collect it.
3. The notebook is last explicitly located on the blue chair’s seat, inside the store cupboard.</x:v>
      </x:c>
      <x:c r="E57" s="14" t="str">
        <x:v>1. Noor carries the notebook to the blue chair.
2. No. “She” in S3 could refer to Bea or Noor, so the passage does not unambiguously identify the promised collector.
3. It is last explicitly on the blue chair's seat after the caretaker moves the chair into the store cupboard.</x:v>
      </x:c>
      <x:c r="F57" s="14" t="str">
        <x:v>https://github.com/sunhero-7/ai-answer-quality-audit/blob/main/04_responses/raw/RC04-A.txt</x:v>
      </x:c>
      <x:c r="G57" s="14" t="str">
        <x:v>Codex agent; underlying model identifier not exposed</x:v>
      </x:c>
      <x:c r="H57" s="14" t="str">
        <x:v>6c530e5f011e570139c85ab5df0b1639ab29ba85f91847d49b5ca028f038c53b</x:v>
      </x:c>
    </x:row>
    <x:row r="58" ht="224" customHeight="1">
      <x:c r="A58" s="9" t="str">
        <x:v>RC04-B</x:v>
      </x:c>
      <x:c r="B58" s="9" t="str">
        <x:v>RC04</x:v>
      </x:c>
      <x:c r="C58" s="14" t="str">
        <x:v>Read this original passage:
[S1] Bea and Noor were sorting materials in the community hall.
[S2] Bea handed Noor a notebook beside the window.
[S3] She said, “Please leave it on the blue chair; I'll collect it after rehearsal.”
[S4] Noor then carried the notebook to the blue chair.
[S5] Later, the caretaker moved the blue chair into the store cupboard, with the notebook still on its seat.
[S6] The passage gives no later conversation about the notebook.
Answer in three numbered points, using no more than 100 words in total:
1. Who moves the notebook to the blue chair?
2. Does the passage unambiguously identify who says they will collect it? Explain briefly.
3. Where is the notebook last explicitly located?</x:v>
      </x:c>
      <x:c r="D58" s="14" t="str">
        <x:v>1. Noor moves the notebook to the blue chair.
2. No. “She” could refer to either Bea or Noor, so the passage does not unambiguously identify who says they will collect it.
3. The notebook is last explicitly located on the blue chair’s seat, inside the store cupboard.</x:v>
      </x:c>
      <x:c r="E58" s="14" t="str">
        <x:v>1. Noor carries the notebook to the blue chair.
2. No. “She” in S3 could refer to Bea or Noor, so the passage does not unambiguously identify the promised collector.
3. It is last explicitly on the blue chair's seat after the caretaker moves the chair into the store cupboard.</x:v>
      </x:c>
      <x:c r="F58" s="14" t="str">
        <x:v>https://github.com/sunhero-7/ai-answer-quality-audit/blob/main/04_responses/raw/RC04-B.txt</x:v>
      </x:c>
      <x:c r="G58" s="14" t="str">
        <x:v>Codex agent; underlying model identifier not exposed</x:v>
      </x:c>
      <x:c r="H58" s="14" t="str">
        <x:v>6f2e6c02f1373233d7957bd4c345e706a610a337faf10b13de02d2068c860a44</x:v>
      </x:c>
    </x:row>
    <x:row r="59" ht="269" customHeight="1">
      <x:c r="A59" s="9" t="str">
        <x:v>RC05-A</x:v>
      </x:c>
      <x:c r="B59" s="9" t="str">
        <x:v>RC05</x:v>
      </x:c>
      <x:c r="C59" s="14" t="str">
        <x:v>Read this original passage:
[S1] The East Bank allotment committee wanted to reduce the amount of water wasted around its communal taps.
[S2] Farah proposed fitting taps that turn themselves off after a short interval, arguing that this would limit water left running accidentally.
[S3] Milo preferred repairing the existing taps first, because several had visible drips even when closed.
[S4] Farah agreed that the dripping taps needed repairs but wanted the committee to price both repairs and automatic shut-off fittings.
[S5] Milo said he would reconsider the fittings if the repair quote left enough money in the maintenance budget.
[S6] The committee requested both prices and postponed its purchase decision until the next meeting.
In no more than 100 words, explain the shared aim, the difference between Farah's and Milo's positions, and the decision made at this meeting. Do not portray either person as opposing all repairs or all new fittings.</x:v>
      </x:c>
      <x:c r="D59" s="14" t="str">
        <x:v>Farah and Milo shared the aim of reducing water wasted at the communal taps. Farah favoured automatic shut-off fittings to prevent taps being left running, while accepting that dripping taps needed repairs; she wanted prices for both options. Milo prioritised repairing the existing leaks and would reconsider new fittings if enough maintenance money remained after the repair quote. The committee requested both prices and postponed its purchase decision until the next meeting.</x:v>
      </x:c>
      <x:c r="E59" s="14" t="str">
        <x:v>Both want to reduce wasted water. Farah favours pricing automatic shut-off fittings to address taps left running, while also agreeing that drips need repairs. Milo prefers repairing the existing taps first, but is willing to reconsider fittings if money remains. The committee requested prices for both options and postponed purchasing until the next meeting; it did not select or install either option.</x:v>
      </x:c>
      <x:c r="F59" s="14" t="str">
        <x:v>https://github.com/sunhero-7/ai-answer-quality-audit/blob/main/04_responses/raw/RC05-A.txt</x:v>
      </x:c>
      <x:c r="G59" s="14" t="str">
        <x:v>Codex agent; underlying model identifier not exposed</x:v>
      </x:c>
      <x:c r="H59" s="14" t="str">
        <x:v>a2e23ac577998d56b6865409818e026add9b8681503162af9fa0119731e3e8d2</x:v>
      </x:c>
    </x:row>
    <x:row r="60" ht="269" customHeight="1">
      <x:c r="A60" s="9" t="str">
        <x:v>RC05-B</x:v>
      </x:c>
      <x:c r="B60" s="9" t="str">
        <x:v>RC05</x:v>
      </x:c>
      <x:c r="C60" s="14" t="str">
        <x:v>Read this original passage:
[S1] The East Bank allotment committee wanted to reduce the amount of water wasted around its communal taps.
[S2] Farah proposed fitting taps that turn themselves off after a short interval, arguing that this would limit water left running accidentally.
[S3] Milo preferred repairing the existing taps first, because several had visible drips even when closed.
[S4] Farah agreed that the dripping taps needed repairs but wanted the committee to price both repairs and automatic shut-off fittings.
[S5] Milo said he would reconsider the fittings if the repair quote left enough money in the maintenance budget.
[S6] The committee requested both prices and postponed its purchase decision until the next meeting.
In no more than 100 words, explain the shared aim, the difference between Farah's and Milo's positions, and the decision made at this meeting. Do not portray either person as opposing all repairs or all new fittings.</x:v>
      </x:c>
      <x:c r="D60" s="14" t="str">
        <x:v>Farah and Milo shared the aim of reducing water waste at the communal taps. Farah proposed automatic shut-off fittings to prevent taps being left running, while also agreeing that dripping taps needed repairs. Milo prioritised repairing the existing taps but would reconsider new fittings if the repair quote left enough money in the maintenance budget. The committee requested prices for both repairs and automatic shut-off fittings, postponing its purchase decision until the next meeting.</x:v>
      </x:c>
      <x:c r="E60" s="14" t="str">
        <x:v>Both want to reduce wasted water. Farah favours pricing automatic shut-off fittings to address taps left running, while also agreeing that drips need repairs. Milo prefers repairing the existing taps first, but is willing to reconsider fittings if money remains. The committee requested prices for both options and postponed purchasing until the next meeting; it did not select or install either option.</x:v>
      </x:c>
      <x:c r="F60" s="14" t="str">
        <x:v>https://github.com/sunhero-7/ai-answer-quality-audit/blob/main/04_responses/raw/RC05-B.txt</x:v>
      </x:c>
      <x:c r="G60" s="14" t="str">
        <x:v>Codex agent; underlying model identifier not exposed</x:v>
      </x:c>
      <x:c r="H60" s="14" t="str">
        <x:v>a474254f918830bd5baa02a444060f9cb566c78838f4bf9368ed811e79ec00c3</x:v>
      </x:c>
    </x:row>
    <x:row r="61" ht="239" customHeight="1">
      <x:c r="A61" s="9" t="str">
        <x:v>RC06-A</x:v>
      </x:c>
      <x:c r="B61" s="9" t="str">
        <x:v>RC06</x:v>
      </x:c>
      <x:c r="C61" s="14" t="str">
        <x:v>Read this original passage:
[S1] A town museum invited all 50 volunteers to complete a questionnaire about its online rota.
[S2] Twenty volunteers replied, and 15 of those respondents said the rota was easy to use.
[S3] Of the same 20 respondents, six requested larger text; the questionnaire allowed people to call the rota easy and also request larger text.
[S4] The museum did not record why the other 30 volunteers did not reply.
[S5] Staff planned to test a larger-text option with volunteers next month, but had not yet selected participants.
Answer in three numbered points, using no more than 110 words in total:
1. What percentage of questionnaire respondents called the rota easy to use? Show the denominator.
2. Does the passage establish that 75% of all 50 volunteers found it easy? Explain.
3. Can the six larger-text requests be treated as six additional respondents, separate from the 15 who found it easy? Explain briefly and name the planned next step.</x:v>
      </x:c>
      <x:c r="D61" s="14" t="str">
        <x:v>1. **75%** of respondents called the rota easy to use: 15 ÷ **20 respondents** × 100.
2. No. The 75% applies only to the 20 respondents, not all 50 volunteers. The passage gives no views from the 30 nonrespondents and says their reasons for not replying were not recorded.
3. No. The six requests came from the same 20 respondents and could overlap with the 15 who called it easy. Staff planned to test a larger-text option with volunteers next month; participants had not yet been selected.</x:v>
      </x:c>
      <x:c r="E61" s="14" t="str">
        <x:v>1. 15 out of 20 respondents: 15 ÷ 20 × 100 = 75%.
2. No. Only 20 of the 50 volunteers replied; the views of the 30 non-respondents are unknown.
3. No. Both answers came from the same 20 respondents and could overlap, so the six cannot be added as a separate group. Staff planned to test a larger-text option next month; participants had not yet been selected.</x:v>
      </x:c>
      <x:c r="F61" s="14" t="str">
        <x:v>https://github.com/sunhero-7/ai-answer-quality-audit/blob/main/04_responses/raw/RC06-A.txt</x:v>
      </x:c>
      <x:c r="G61" s="14" t="str">
        <x:v>Codex agent; underlying model identifier not exposed</x:v>
      </x:c>
      <x:c r="H61" s="14" t="str">
        <x:v>a384968e8a4688409da81d0f5c4ebe74737fa24487cc99a08689a8cf0f48d700</x:v>
      </x:c>
    </x:row>
    <x:row r="62" ht="239" customHeight="1">
      <x:c r="A62" s="9" t="str">
        <x:v>RC06-B</x:v>
      </x:c>
      <x:c r="B62" s="9" t="str">
        <x:v>RC06</x:v>
      </x:c>
      <x:c r="C62" s="14" t="str">
        <x:v>Read this original passage:
[S1] A town museum invited all 50 volunteers to complete a questionnaire about its online rota.
[S2] Twenty volunteers replied, and 15 of those respondents said the rota was easy to use.
[S3] Of the same 20 respondents, six requested larger text; the questionnaire allowed people to call the rota easy and also request larger text.
[S4] The museum did not record why the other 30 volunteers did not reply.
[S5] Staff planned to test a larger-text option with volunteers next month, but had not yet selected participants.
Answer in three numbered points, using no more than 110 words in total:
1. What percentage of questionnaire respondents called the rota easy to use? Show the denominator.
2. Does the passage establish that 75% of all 50 volunteers found it easy? Explain.
3. Can the six larger-text requests be treated as six additional respondents, separate from the 15 who found it easy? Explain briefly and name the planned next step.</x:v>
      </x:c>
      <x:c r="D62" s="14" t="str">
        <x:v>1. **75%** of respondents called the rota easy to use: 15 ÷ **20 respondents** × 100.
2. **No.** The 75% applies only to the 20 respondents, not all 50 volunteers. The other 30 did not reply, and their views and reasons for not replying were not recorded.
3. **No.** The six requests came from the same 20 respondents and could overlap with the 15 who found the rota easy. Staff planned to test a larger-text option with volunteers next month; participants had not yet been selected.</x:v>
      </x:c>
      <x:c r="E62" s="14" t="str">
        <x:v>1. 15 out of 20 respondents: 15 ÷ 20 × 100 = 75%.
2. No. Only 20 of the 50 volunteers replied; the views of the 30 non-respondents are unknown.
3. No. Both answers came from the same 20 respondents and could overlap, so the six cannot be added as a separate group. Staff planned to test a larger-text option next month; participants had not yet been selected.</x:v>
      </x:c>
      <x:c r="F62" s="14" t="str">
        <x:v>https://github.com/sunhero-7/ai-answer-quality-audit/blob/main/04_responses/raw/RC06-B.txt</x:v>
      </x:c>
      <x:c r="G62" s="14" t="str">
        <x:v>Codex agent; underlying model identifier not exposed</x:v>
      </x:c>
      <x:c r="H62" s="14" t="str">
        <x:v>a9477e1a3c8fd08106e5f6e9d7debe67d7b0fbceb2d600073cb360372325f46f</x:v>
      </x:c>
    </x:row>
    <x:row r="63" ht="209" customHeight="1">
      <x:c r="A63" s="9" t="str">
        <x:v>RC07-A</x:v>
      </x:c>
      <x:c r="B63" s="9" t="str">
        <x:v>RC07</x:v>
      </x:c>
      <x:c r="C63" s="14" t="str">
        <x:v>Read this original passage:
[S1] On 4 October, Oak Lane Arts Centre posted a notice saying that its Saturday drawing session on 12 October would begin at 11:00 in Room A.
[S2] On 7 October, the centre issued a replacement notice: the same session would begin at 12:00 in Room B because Room A needed repairs.
[S3] The replacement notice said that the date and £6 entry price were unchanged and that people should use its time and room details instead of the earlier notice.
[S4] On 9 October, a visitor found a printed copy of the first notice in a nearby café.
[S5] No further change is reported in the passage.
Using only the passage, write a reply to the visitor in no more than 80 words that gives the applicable date, start time, room and price, and explains why the café notice differs.</x:v>
      </x:c>
      <x:c r="D63" s="14" t="str">
        <x:v>The drawing session is on Saturday 12 October at 12:00 in Room B, with a £6 entry price. The café copy is the first notice, dated 4 October. A replacement issued on 7 October changed the time and room because Room A needed repairs. The date and price stayed the same, and no further change is reported.</x:v>
      </x:c>
      <x:c r="E63" s="14" t="str">
        <x:v>The applicable details are 12 October at 12:00 in Room B, with entry costing £6. The café has a copy of the earlier 4 October notice. The centre's 7 October replacement moved the time and room because Room A needed repairs, and explicitly superseded those earlier details. The date and price stayed unchanged.</x:v>
      </x:c>
      <x:c r="F63" s="14" t="str">
        <x:v>https://github.com/sunhero-7/ai-answer-quality-audit/blob/main/04_responses/raw/RC07-A.txt</x:v>
      </x:c>
      <x:c r="G63" s="14" t="str">
        <x:v>Codex agent; underlying model identifier not exposed</x:v>
      </x:c>
      <x:c r="H63" s="14" t="str">
        <x:v>1f3b7d6aac127be1a6c3464248e6f14863c1fe876213348b67d8c598a8610c07</x:v>
      </x:c>
    </x:row>
    <x:row r="64" ht="209" customHeight="1">
      <x:c r="A64" s="9" t="str">
        <x:v>RC07-B</x:v>
      </x:c>
      <x:c r="B64" s="9" t="str">
        <x:v>RC07</x:v>
      </x:c>
      <x:c r="C64" s="14" t="str">
        <x:v>Read this original passage:
[S1] On 4 October, Oak Lane Arts Centre posted a notice saying that its Saturday drawing session on 12 October would begin at 11:00 in Room A.
[S2] On 7 October, the centre issued a replacement notice: the same session would begin at 12:00 in Room B because Room A needed repairs.
[S3] The replacement notice said that the date and £6 entry price were unchanged and that people should use its time and room details instead of the earlier notice.
[S4] On 9 October, a visitor found a printed copy of the first notice in a nearby café.
[S5] No further change is reported in the passage.
Using only the passage, write a reply to the visitor in no more than 80 words that gives the applicable date, start time, room and price, and explains why the café notice differs.</x:v>
      </x:c>
      <x:c r="D64" s="14" t="str">
        <x:v>The session is on Saturday 12 October at 12:00 in Room B, and entry costs £6. The café copy is the original 4 October notice. The centre replaced it on 7 October because Room A needed repairs. The replacement’s time and room apply; the date and price remain unchanged.</x:v>
      </x:c>
      <x:c r="E64" s="14" t="str">
        <x:v>The applicable details are 12 October at 12:00 in Room B, with entry costing £6. The café has a copy of the earlier 4 October notice. The centre's 7 October replacement moved the time and room because Room A needed repairs, and explicitly superseded those earlier details. The date and price stayed unchanged.</x:v>
      </x:c>
      <x:c r="F64" s="14" t="str">
        <x:v>https://github.com/sunhero-7/ai-answer-quality-audit/blob/main/04_responses/raw/RC07-B.txt</x:v>
      </x:c>
      <x:c r="G64" s="14" t="str">
        <x:v>Codex agent; underlying model identifier not exposed</x:v>
      </x:c>
      <x:c r="H64" s="14" t="str">
        <x:v>daac7ab6633650eb41a96aa4d9fc6a088bae0aa5208a1b0587ccfe26fc30e995</x:v>
      </x:c>
    </x:row>
    <x:row r="65" ht="239" customHeight="1">
      <x:c r="A65" s="9" t="str">
        <x:v>RC08-A</x:v>
      </x:c>
      <x:c r="B65" s="9" t="str">
        <x:v>RC08</x:v>
      </x:c>
      <x:c r="C65" s="14" t="str">
        <x:v>Read this original passage:
[S1] The community seed swap will accept labelled packets at the library desk from Monday to Thursday during normal library opening hours.
[S2] Each label must give the plant name and the year the seeds were collected.
[S3] Homemade envelopes are welcome if they close securely; original shop packets are not required.
[S4] The organisers cannot accept loose seeds, seeds without labels, or packets showing visible mould.
[S5] Donations are optional: visitors may take part in Saturday's swap even if they have no seeds to bring.
[S6] The library has not listed its opening hours in this announcement.
Write a plain-English summary for visitors in no more than 75 words. Include when and where to donate, both label requirements, the packaging rule, the exclusions and whether a donation is needed to attend. Do not invent exact opening times.</x:v>
      </x:c>
      <x:c r="D65" s="14" t="str">
        <x:v>Bring seed packets to the library desk Monday to Thursday during normal opening hours. Label each with the plant name and year collected. Securely closed homemade envelopes are welcome; original shop packets aren’t needed. Loose seeds, unlabelled seeds and packets with visible mould aren’t accepted. You can attend Saturday’s swap without donating. Exact opening hours aren’t given.</x:v>
      </x:c>
      <x:c r="E65" s="14" t="str">
        <x:v>Donate labelled seed packets at the library desk Monday–Thursday during normal opening hours; exact hours are not given. Labels must name the plant and collection year. Securely closed homemade envelopes are welcome; shop packets are unnecessary. Loose or unlabelled seeds and packets with visible mould cannot be accepted. You can attend Saturday's swap without donating seeds.</x:v>
      </x:c>
      <x:c r="F65" s="14" t="str">
        <x:v>https://github.com/sunhero-7/ai-answer-quality-audit/blob/main/04_responses/raw/RC08-A.txt</x:v>
      </x:c>
      <x:c r="G65" s="14" t="str">
        <x:v>Codex agent; underlying model identifier not exposed</x:v>
      </x:c>
      <x:c r="H65" s="14" t="str">
        <x:v>fe94c778e829de9a05195e0050491f5d07e400285efb829f096a98f4eeabaa08</x:v>
      </x:c>
    </x:row>
    <x:row r="66" ht="239" customHeight="1">
      <x:c r="A66" s="9" t="str">
        <x:v>RC08-B</x:v>
      </x:c>
      <x:c r="B66" s="9" t="str">
        <x:v>RC08</x:v>
      </x:c>
      <x:c r="C66" s="14" t="str">
        <x:v>Read this original passage:
[S1] The community seed swap will accept labelled packets at the library desk from Monday to Thursday during normal library opening hours.
[S2] Each label must give the plant name and the year the seeds were collected.
[S3] Homemade envelopes are welcome if they close securely; original shop packets are not required.
[S4] The organisers cannot accept loose seeds, seeds without labels, or packets showing visible mould.
[S5] Donations are optional: visitors may take part in Saturday's swap even if they have no seeds to bring.
[S6] The library has not listed its opening hours in this announcement.
Write a plain-English summary for visitors in no more than 75 words. Include when and where to donate, both label requirements, the packaging rule, the exclusions and whether a donation is needed to attend. Do not invent exact opening times.</x:v>
      </x:c>
      <x:c r="D66" s="14" t="str">
        <x:v>Donate seeds at the library desk Monday to Thursday during normal opening hours; exact times aren’t listed. Label each packet with the plant name and the year the seeds were collected. Homemade envelopes must close securely; shop packets aren’t required. Loose seeds, unlabelled seeds and packets showing visible mould cannot be accepted. Donations are optional: you can attend Saturday’s swap without bringing seeds.</x:v>
      </x:c>
      <x:c r="E66" s="14" t="str">
        <x:v>Donate labelled seed packets at the library desk Monday–Thursday during normal opening hours; exact hours are not given. Labels must name the plant and collection year. Securely closed homemade envelopes are welcome; shop packets are unnecessary. Loose or unlabelled seeds and packets with visible mould cannot be accepted. You can attend Saturday's swap without donating seeds.</x:v>
      </x:c>
      <x:c r="F66" s="14" t="str">
        <x:v>https://github.com/sunhero-7/ai-answer-quality-audit/blob/main/04_responses/raw/RC08-B.txt</x:v>
      </x:c>
      <x:c r="G66" s="14" t="str">
        <x:v>Codex agent; underlying model identifier not exposed</x:v>
      </x:c>
      <x:c r="H66" s="14" t="str">
        <x:v>10ff87ab7d8bc7de618657528312693d0caaacbd61dfa5ef9b804d3b8c8936fd</x:v>
      </x:c>
    </x:row>
    <x:row r="67" ht="239" customHeight="1">
      <x:c r="A67" s="9" t="str">
        <x:v>RC09-A</x:v>
      </x:c>
      <x:c r="B67" s="9" t="str">
        <x:v>RC09</x:v>
      </x:c>
      <x:c r="C67" s="14" t="str">
        <x:v>Read this original passage:
[S1] When Leo opened his bakery at dawn, he found a small brass key inside a plain envelope on the doorstep.
[S2] There was no name on the envelope, only the words “Back where it belongs.”
[S3] He tried the key in the old flour cupboard, and its lock turned.
[S4] The cupboard had stood locked since his uncle moved away in June.
[S5] Leo smiled, then put the empty envelope in a drawer instead of throwing it away.
[S6] At lunchtime, his neighbour asked whether any post had arrived, and Leo replied, “Just something I had stopped looking for.”
Answer in three numbered points, using no more than 120 words in total:
1. Give two explicit facts about the key and what Leo does with it.
2. Offer one reasonable inference about Leo's reaction, supported by two details.
3. Identify one important fact the passage does not establish about the envelope's sender.</x:v>
      </x:c>
      <x:c r="D67" s="14" t="str">
        <x:v>1. The key is small and made of brass. Leo tries it in the old flour cupboard, and the lock turns.
2. Leo seems pleased and may regard the key’s return as personally meaningful: he smiles after opening the cupboard and keeps the empty envelope instead of throwing it away.
3. The passage does not establish who sent the envelope; neither his uncle nor his neighbour is confirmed as the sender.</x:v>
      </x:c>
      <x:c r="E67" s="14" t="str">
        <x:v>1. Leo finds a brass key inside an envelope on the doorstep. He tries it in the old flour cupboard, and the lock turns.
2. He may be pleased and attach personal significance to its return: he smiles and keeps the envelope rather than discarding it.
3. The passage does not establish who left the envelope.</x:v>
      </x:c>
      <x:c r="F67" s="14" t="str">
        <x:v>https://github.com/sunhero-7/ai-answer-quality-audit/blob/main/04_responses/raw/RC09-A.txt</x:v>
      </x:c>
      <x:c r="G67" s="14" t="str">
        <x:v>Codex agent; underlying model identifier not exposed</x:v>
      </x:c>
      <x:c r="H67" s="14" t="str">
        <x:v>549bacfd550ba2b1c47673eaa5e2cfc4e68941a564ce926bf09fd295ce344887</x:v>
      </x:c>
    </x:row>
    <x:row r="68" ht="239" customHeight="1">
      <x:c r="A68" s="9" t="str">
        <x:v>RC09-B</x:v>
      </x:c>
      <x:c r="B68" s="9" t="str">
        <x:v>RC09</x:v>
      </x:c>
      <x:c r="C68" s="14" t="str">
        <x:v>Read this original passage:
[S1] When Leo opened his bakery at dawn, he found a small brass key inside a plain envelope on the doorstep.
[S2] There was no name on the envelope, only the words “Back where it belongs.”
[S3] He tried the key in the old flour cupboard, and its lock turned.
[S4] The cupboard had stood locked since his uncle moved away in June.
[S5] Leo smiled, then put the empty envelope in a drawer instead of throwing it away.
[S6] At lunchtime, his neighbour asked whether any post had arrived, and Leo replied, “Just something I had stopped looking for.”
Answer in three numbered points, using no more than 120 words in total:
1. Give two explicit facts about the key and what Leo does with it.
2. Offer one reasonable inference about Leo's reaction, supported by two details.
3. Identify one important fact the passage does not establish about the envelope's sender.</x:v>
      </x:c>
      <x:c r="D68" s="14" t="str">
        <x:v>1. The key is small and made of brass. Leo tries it in the old flour cupboard, and its lock turns.
2. Leo seems pleased and may attach personal significance to its return: he smiles and keeps the empty envelope instead of throwing it away.
3. The passage does not establish who sent the envelope, including whether it was Leo’s uncle.</x:v>
      </x:c>
      <x:c r="E68" s="14" t="str">
        <x:v>1. Leo finds a brass key inside an envelope on the doorstep. He tries it in the old flour cupboard, and the lock turns.
2. He may be pleased and attach personal significance to its return: he smiles and keeps the envelope rather than discarding it.
3. The passage does not establish who left the envelope.</x:v>
      </x:c>
      <x:c r="F68" s="14" t="str">
        <x:v>https://github.com/sunhero-7/ai-answer-quality-audit/blob/main/04_responses/raw/RC09-B.txt</x:v>
      </x:c>
      <x:c r="G68" s="14" t="str">
        <x:v>Codex agent; underlying model identifier not exposed</x:v>
      </x:c>
      <x:c r="H68" s="14" t="str">
        <x:v>0593978db844b33a6d0156ef063f1e9c8e2585097c2f2b9db8f601e3c0a2531a</x:v>
      </x:c>
    </x:row>
    <x:row r="69" ht="359" customHeight="1">
      <x:c r="A69" s="9" t="str">
        <x:v>RC10-A</x:v>
      </x:c>
      <x:c r="B69" s="9" t="str">
        <x:v>RC10</x:v>
      </x:c>
      <x:c r="C69" s="14" t="str">
        <x:v>Read this original passage:
[S1] The Brookside walking group planned two routes for its Sunday outing: a 4-kilometre riverside route and a 7-kilometre hill route.
[S2] Rain on Saturday made the hill path muddy, so the organisers cancelled the hill route but kept the riverside route.
[S3] They emailed everyone who had registered and posted the change on the group's noticeboard.
[S4] Fourteen registered walkers attended the riverside outing on Sunday; the passage gives no total registration count.
[S5] At the end, two walkers suggested offering the hill route later in the month, but the organisers did not announce another date.
For each claim below, write 'supported', 'contradicted' or 'not established' and give a brief reason tied to the passage. Keep the whole answer within 110 words.
A. All routes for Sunday were cancelled.
B. Every registered walker received an email about the change.
C. Fourteen registered walkers attended on Sunday.
D. Most registered walkers attended on Sunday.
E. Another hill-route outing was scheduled for later in the month.
Treat 'emailed' as establishing that messages were sent, without assuming that they were delivered or read. A claim is 'contradicted' only when the passage provides information incompatible with it; missing evidence alone means 'not established'.</x:v>
      </x:c>
      <x:c r="D69" s="14" t="str">
        <x:v>A. **Contradicted** — The riverside route was kept; only the hill route was cancelled (S2).
B. **Not established** — Organisers sent emails to everyone registered, but delivery is not established (S3).
C. **Supported** — Fourteen registered walkers attended the riverside outing on Sunday (S4).
D. **Not established** — The total registration count is unknown, so fourteen cannot be identified as a majority (S4).
E. **Not established** — Two walkers suggested a later hill outing, but no date was announced; this does not establish or rule out scheduling (S5).</x:v>
      </x:c>
      <x:c r="E69" s="14" t="str">
        <x:v>A. Contradicted: S2 keeps the riverside route despite cancelling the hill route.
B. Not established: S3 says everyone was emailed, but does not establish delivery to every recipient.
C. Supported: S4 reports fourteen registered attendees on Sunday.
D. Not established: S4 gives no total registration count, so the proportion attending is unknown.
E. Not established: S5 reports a suggestion and no announced date; that does not establish a scheduled outing or prove that none existed privately.</x:v>
      </x:c>
      <x:c r="F69" s="14" t="str">
        <x:v>https://github.com/sunhero-7/ai-answer-quality-audit/blob/main/04_responses/raw/RC10-A.txt</x:v>
      </x:c>
      <x:c r="G69" s="14" t="str">
        <x:v>Codex agent; underlying model identifier not exposed</x:v>
      </x:c>
      <x:c r="H69" s="14" t="str">
        <x:v>d9165800c707dd8050a0c3369034d73e5fa09282dea1b12877f986baca6ae640</x:v>
      </x:c>
    </x:row>
    <x:row r="70" ht="359" customHeight="1">
      <x:c r="A70" s="9" t="str">
        <x:v>RC10-B</x:v>
      </x:c>
      <x:c r="B70" s="9" t="str">
        <x:v>RC10</x:v>
      </x:c>
      <x:c r="C70" s="14" t="str">
        <x:v>Read this original passage:
[S1] The Brookside walking group planned two routes for its Sunday outing: a 4-kilometre riverside route and a 7-kilometre hill route.
[S2] Rain on Saturday made the hill path muddy, so the organisers cancelled the hill route but kept the riverside route.
[S3] They emailed everyone who had registered and posted the change on the group's noticeboard.
[S4] Fourteen registered walkers attended the riverside outing on Sunday; the passage gives no total registration count.
[S5] At the end, two walkers suggested offering the hill route later in the month, but the organisers did not announce another date.
For each claim below, write 'supported', 'contradicted' or 'not established' and give a brief reason tied to the passage. Keep the whole answer within 110 words.
A. All routes for Sunday were cancelled.
B. Every registered walker received an email about the change.
C. Fourteen registered walkers attended on Sunday.
D. Most registered walkers attended on Sunday.
E. Another hill-route outing was scheduled for later in the month.
Treat 'emailed' as establishing that messages were sent, without assuming that they were delivered or read. A claim is 'contradicted' only when the passage provides information incompatible with it; missing evidence alone means 'not established'.</x:v>
      </x:c>
      <x:c r="D70" s="14" t="str">
        <x:v>A. **Contradicted** — S2 says the riverside route was kept; only the hill route was cancelled.
B. **Not established** — S3 establishes that emails were sent to everyone registered, not that everyone received them.
C. **Supported** — S4 explicitly states that fourteen registered walkers attended on Sunday.
D. **Not established** — S4 gives no total registration count, so whether fourteen constituted most registrants is unknown.
E. **Not established** — S5 records a suggestion and no announced date; it does not establish whether another outing was scheduled.</x:v>
      </x:c>
      <x:c r="E70" s="14" t="str">
        <x:v>A. Contradicted: S2 keeps the riverside route despite cancelling the hill route.
B. Not established: S3 says everyone was emailed, but does not establish delivery to every recipient.
C. Supported: S4 reports fourteen registered attendees on Sunday.
D. Not established: S4 gives no total registration count, so the proportion attending is unknown.
E. Not established: S5 reports a suggestion and no announced date; that does not establish a scheduled outing or prove that none existed privately.</x:v>
      </x:c>
      <x:c r="F70" s="14" t="str">
        <x:v>https://github.com/sunhero-7/ai-answer-quality-audit/blob/main/04_responses/raw/RC10-B.txt</x:v>
      </x:c>
      <x:c r="G70" s="14" t="str">
        <x:v>Codex agent; underlying model identifier not exposed</x:v>
      </x:c>
      <x:c r="H70" s="14" t="str">
        <x:v>94034360b0c2e0c71a0dda3aa670e24e072f2b87f5f368dcd8fbb9b5efef6107</x:v>
      </x:c>
    </x:row>
    <x:row r="71" ht="224" customHeight="1">
      <x:c r="A71" s="9" t="str">
        <x:v>PR03-A</x:v>
      </x:c>
      <x:c r="B71" s="9" t="str">
        <x:v>PR03</x:v>
      </x:c>
      <x:c r="C71" s="14" t="str">
        <x:v>Plan one person's work from 13:00 to 14:30 using these constraints:
[C1] Check a digital exhibit-card file for 15 continuous minutes before printing begins.
[C2] Printing then runs automatically for 20 continuous minutes. The printer is available only from 13:15 to 13:55, and the entire print run must fit inside that window. Printing needs no supervision and may overlap another activity.
[C3] Collect a delivery in person from exactly 13:30 to 13:40.
[C4] Trim the printed cards for 15 continuous minutes after printing finishes.
[C5] Pack the trimmed cards for 10 continuous minutes after trimming finishes.
[C6] The file check, delivery collection, trimming and packing all require the person's full attention and cannot overlap one another. No activity may be split. Boundary adjacency is allowed.
Give one valid schedule with start and end times for all five activities. Leave spare time unassigned; the goal is feasibility, not the earliest finish.</x:v>
      </x:c>
      <x:c r="D71" s="14" t="str">
        <x:v>| Activity | Start | End |
|---|---|---|
| Check file | 13:00 | 13:15 |
| Print cards automatically | 13:15 | 13:35 |
| Collect delivery | 13:30 | 13:40 |
| Trim cards | 13:40 | 13:55 |
| Pack cards | 13:55 | 14:05 |
All other time remains unassigned.</x:v>
      </x:c>
      <x:c r="E71" s="14" t="str">
        <x:v>One valid schedule is: file check 13:00–13:15; automatic printing 13:15–13:35; delivery collection 13:30–13:40; trimming 13:40–13:55; packing 13:55–14:05. Printing overlaps the delivery collection, which is permitted because printing is unattended. All attention-requiring activities are separate, and the dependencies and printer window are satisfied.</x:v>
      </x:c>
      <x:c r="F71" s="14" t="str">
        <x:v>https://github.com/sunhero-7/ai-answer-quality-audit/blob/main/04_responses/raw/PR03-A.txt</x:v>
      </x:c>
      <x:c r="G71" s="14" t="str">
        <x:v>Codex agent; underlying model identifier not exposed</x:v>
      </x:c>
      <x:c r="H71" s="14" t="str">
        <x:v>79bfdec933961b07cb08b80428a93d4605c71b5ea5e5bc0967b6846b82ca0cac</x:v>
      </x:c>
    </x:row>
    <x:row r="72" ht="224" customHeight="1">
      <x:c r="A72" s="9" t="str">
        <x:v>PR03-B</x:v>
      </x:c>
      <x:c r="B72" s="9" t="str">
        <x:v>PR03</x:v>
      </x:c>
      <x:c r="C72" s="14" t="str">
        <x:v>Plan one person's work from 13:00 to 14:30 using these constraints:
[C1] Check a digital exhibit-card file for 15 continuous minutes before printing begins.
[C2] Printing then runs automatically for 20 continuous minutes. The printer is available only from 13:15 to 13:55, and the entire print run must fit inside that window. Printing needs no supervision and may overlap another activity.
[C3] Collect a delivery in person from exactly 13:30 to 13:40.
[C4] Trim the printed cards for 15 continuous minutes after printing finishes.
[C5] Pack the trimmed cards for 10 continuous minutes after trimming finishes.
[C6] The file check, delivery collection, trimming and packing all require the person's full attention and cannot overlap one another. No activity may be split. Boundary adjacency is allowed.
Give one valid schedule with start and end times for all five activities. Leave spare time unassigned; the goal is feasibility, not the earliest finish.</x:v>
      </x:c>
      <x:c r="D72" s="14" t="str">
        <x:v>| Activity | Start | End |
|---|---|---|
| Check digital file | 13:00 | 13:15 |
| Automatic printing | 13:15 | 13:35 |
| Collect delivery | 13:30 | 13:40 |
| Trim printed cards | 13:40 | 13:55 |
| Pack trimmed cards | 13:55 | 14:05 |
Printing overlaps delivery collection without requiring supervision. Spare time from 14:05 to 14:30 remains unassigned.</x:v>
      </x:c>
      <x:c r="E72" s="14" t="str">
        <x:v>One valid schedule is: file check 13:00–13:15; automatic printing 13:15–13:35; delivery collection 13:30–13:40; trimming 13:40–13:55; packing 13:55–14:05. Printing overlaps the delivery collection, which is permitted because printing is unattended. All attention-requiring activities are separate, and the dependencies and printer window are satisfied.</x:v>
      </x:c>
      <x:c r="F72" s="14" t="str">
        <x:v>https://github.com/sunhero-7/ai-answer-quality-audit/blob/main/04_responses/raw/PR03-B.txt</x:v>
      </x:c>
      <x:c r="G72" s="14" t="str">
        <x:v>Codex agent; underlying model identifier not exposed</x:v>
      </x:c>
      <x:c r="H72" s="14" t="str">
        <x:v>a97da4e5e322d6205a28dcdea715e0c404367181bbf04bbecc62c180edba56de</x:v>
      </x:c>
    </x:row>
    <x:row r="73" ht="149" customHeight="1">
      <x:c r="A73" s="9" t="str">
        <x:v>PR04-A</x:v>
      </x:c>
      <x:c r="B73" s="9" t="str">
        <x:v>PR04</x:v>
      </x:c>
      <x:c r="C73" s="14" t="str">
        <x:v>A fictional pop-up stall has three one-hour shifts: 09:00–10:00, 10:00–11:00 and 11:00–12:00. Exactly one person must cover each full shift, with no splitting. The only helpers are Asha and Ben. Asha is available for all three shifts; Ben is available only for 10:00–11:00. Each helper may cover at most one shift.
Can all shifts be covered under these rules? Explain briefly. Then give one of these two repairs, with a complete rota: either allow one named helper to cover one additional shift while keeping availability unchanged, or add one new helper who covers exactly one shift. Do not change any other rule. Use no more than 150 words.</x:v>
      </x:c>
      <x:c r="D73" s="14" t="str">
        <x:v>No. There are three shifts but only two helpers, each allowed at most one shift. Also, only Asha is available for both the first and last shifts.
Repair: allow **Asha** to cover one additional shift, keeping availability unchanged.
| Shift | Helper |
|---|---|
| 09:00–10:00 | Asha |
| 10:00–11:00 | Ben |
| 11:00–12:00 | Asha |
Each shift has exactly one helper for the full hour, and all other rules remain unchanged.</x:v>
      </x:c>
      <x:c r="E73" s="14" t="str">
        <x:v>No. Two helpers who may each work at most one shift can cover only two of the three shifts. The 09:00 and 11:00 shifts also both require Asha under the original availability. One permitted repair is to let Asha cover one additional shift: Asha 09:00–10:00, Ben 10:00–11:00, Asha 11:00–12:00. Availability is unchanged and every shift is covered once. Alternatively, add a helper for either the first or last shift; Asha covers the other outer shift and Ben covers the middle one.</x:v>
      </x:c>
      <x:c r="F73" s="14" t="str">
        <x:v>https://github.com/sunhero-7/ai-answer-quality-audit/blob/main/04_responses/raw/PR04-A.txt</x:v>
      </x:c>
      <x:c r="G73" s="14" t="str">
        <x:v>Codex agent; underlying model identifier not exposed</x:v>
      </x:c>
      <x:c r="H73" s="14" t="str">
        <x:v>ed51af05879502e028b4dab321f57ea56417c759abdb8074ae685d9c3be415b5</x:v>
      </x:c>
    </x:row>
    <x:row r="74" ht="149" customHeight="1">
      <x:c r="A74" s="9" t="str">
        <x:v>PR04-B</x:v>
      </x:c>
      <x:c r="B74" s="9" t="str">
        <x:v>PR04</x:v>
      </x:c>
      <x:c r="C74" s="14" t="str">
        <x:v>A fictional pop-up stall has three one-hour shifts: 09:00–10:00, 10:00–11:00 and 11:00–12:00. Exactly one person must cover each full shift, with no splitting. The only helpers are Asha and Ben. Asha is available for all three shifts; Ben is available only for 10:00–11:00. Each helper may cover at most one shift.
Can all shifts be covered under these rules? Explain briefly. Then give one of these two repairs, with a complete rota: either allow one named helper to cover one additional shift while keeping availability unchanged, or add one new helper who covers exactly one shift. Do not change any other rule. Use no more than 150 words.</x:v>
      </x:c>
      <x:c r="D74" s="14" t="str">
        <x:v>No. Three shifts need covering, but two helpers covering at most one shift each can cover only two. Also, only Asha is available for both the first and last shifts.
Repair: allow **Asha** to cover one additional shift, increasing her limit to two shifts.
| Shift | Helper |
|---|---|
| 09:00–10:00 | Asha |
| 10:00–11:00 | Ben |
| 11:00–12:00 | Asha |
Availability and all other rules remain unchanged.</x:v>
      </x:c>
      <x:c r="E74" s="14" t="str">
        <x:v>No. Two helpers who may each work at most one shift can cover only two of the three shifts. The 09:00 and 11:00 shifts also both require Asha under the original availability. One permitted repair is to let Asha cover one additional shift: Asha 09:00–10:00, Ben 10:00–11:00, Asha 11:00–12:00. Availability is unchanged and every shift is covered once. Alternatively, add a helper for either the first or last shift; Asha covers the other outer shift and Ben covers the middle one.</x:v>
      </x:c>
      <x:c r="F74" s="14" t="str">
        <x:v>https://github.com/sunhero-7/ai-answer-quality-audit/blob/main/04_responses/raw/PR04-B.txt</x:v>
      </x:c>
      <x:c r="G74" s="14" t="str">
        <x:v>Codex agent; underlying model identifier not exposed</x:v>
      </x:c>
      <x:c r="H74" s="14" t="str">
        <x:v>944fefe54c7632dc8b1c6fc26953ee9d352d2fb08bbec8c8681e892b1b820202</x:v>
      </x:c>
    </x:row>
    <x:row r="75" ht="119" customHeight="1">
      <x:c r="A75" s="9" t="str">
        <x:v>PR05-A</x:v>
      </x:c>
      <x:c r="B75" s="9" t="str">
        <x:v>PR05</x:v>
      </x:c>
      <x:c r="C75" s="14" t="str">
        <x:v>Six indivisible display items have these masses: A 6 kg, B 5 kg, C 4 kg, D 3 kg, E 2 kg and F 2 kg. Use exactly two boxes. Each box may contain at most three items and at most 12 kg of items; ignore the box's own mass. Put every item in exactly one box. Items A and B must be in different boxes, and items E and F must stay together.
Give one valid packing, listing the items and total item mass in each box. Briefly show that all constraints are satisfied. Do not split items or add boxes.</x:v>
      </x:c>
      <x:c r="D75" s="14" t="str">
        <x:v>- **Box 1:** A, E, F — \(6+2+2=10\) kg.
- **Box 2:** B, C, D — \(5+4+3=12\) kg.
Exactly two boxes are used, each with three whole items and no more than 12 kg. Every item appears once, A and B are separated, and E and F stay together.</x:v>
      </x:c>
      <x:c r="E75" s="14" t="str">
        <x:v>Box 1: A, E and F, total 6 + 2 + 2 = 10 kg. Box 2: B, C and D, total 5 + 4 + 3 = 12 kg. Each box contains three items and stays at or below 12 kg; all six items appear once, A and B are separated, and E and F stay together. Swapping the box labels gives the same valid packing.</x:v>
      </x:c>
      <x:c r="F75" s="14" t="str">
        <x:v>https://github.com/sunhero-7/ai-answer-quality-audit/blob/main/04_responses/raw/PR05-A.txt</x:v>
      </x:c>
      <x:c r="G75" s="14" t="str">
        <x:v>Codex agent; underlying model identifier not exposed</x:v>
      </x:c>
      <x:c r="H75" s="14" t="str">
        <x:v>2ff8c1ddfbdd83d5ce0bb007fc9326d50d8c1253665e46f387f100a98663eae6</x:v>
      </x:c>
    </x:row>
    <x:row r="76" ht="119" customHeight="1">
      <x:c r="A76" s="9" t="str">
        <x:v>PR05-B</x:v>
      </x:c>
      <x:c r="B76" s="9" t="str">
        <x:v>PR05</x:v>
      </x:c>
      <x:c r="C76" s="14" t="str">
        <x:v>Six indivisible display items have these masses: A 6 kg, B 5 kg, C 4 kg, D 3 kg, E 2 kg and F 2 kg. Use exactly two boxes. Each box may contain at most three items and at most 12 kg of items; ignore the box's own mass. Put every item in exactly one box. Items A and B must be in different boxes, and items E and F must stay together.
Give one valid packing, listing the items and total item mass in each box. Briefly show that all constraints are satisfied. Do not split items or add boxes.</x:v>
      </x:c>
      <x:c r="D76" s="14" t="str">
        <x:v>- **Box 1:** A, E, F — **10 kg**
- **Box 2:** B, C, D — **12 kg**
Exactly two boxes are used, each with three items and no more than 12 kg. Every item appears once, A and B are separate, and E and F stay together.</x:v>
      </x:c>
      <x:c r="E76" s="14" t="str">
        <x:v>Box 1: A, E and F, total 6 + 2 + 2 = 10 kg. Box 2: B, C and D, total 5 + 4 + 3 = 12 kg. Each box contains three items and stays at or below 12 kg; all six items appear once, A and B are separated, and E and F stay together. Swapping the box labels gives the same valid packing.</x:v>
      </x:c>
      <x:c r="F76" s="14" t="str">
        <x:v>https://github.com/sunhero-7/ai-answer-quality-audit/blob/main/04_responses/raw/PR05-B.txt</x:v>
      </x:c>
      <x:c r="G76" s="14" t="str">
        <x:v>Codex agent; underlying model identifier not exposed</x:v>
      </x:c>
      <x:c r="H76" s="14" t="str">
        <x:v>8df9089226c6ef5a077715214c846c346b05faef61c6a284204ad90f0cf5d916</x:v>
      </x:c>
    </x:row>
    <x:row r="77" ht="284" customHeight="1">
      <x:c r="A77" s="9" t="str">
        <x:v>PR06-A</x:v>
      </x:c>
      <x:c r="B77" s="9" t="str">
        <x:v>PR06</x:v>
      </x:c>
      <x:c r="C77" s="14" t="str">
        <x:v>Use only this fictional same-day timetable. All times use the same local clock. A shuttle goes from Brook to Junction, and a train then goes from Junction to the museum. The traveller starts at Brook no earlier than 09:00 and must arrive at the museum by 10:30 inclusive. A connection is allowed only when the train departs at least 12 minutes after the shuttle arrives. No walking or other services are available.
Shuttles:
[S1] Brook 09:00 → Junction 09:20.
[S2] Brook 09:15 → Junction 09:35.
[S3] Brook 09:30 → Junction 09:50.
Trains:
[T1] Junction 09:30 → museum 10:00.
[T2] Junction 09:45 → museum 10:15.
[T3] Junction 10:05 → museum 10:35.
List every feasible shuttle–train combination. Then recommend the combination that leaves Brook latest among the feasible ones. Show the transfer waiting time for each listed combination.</x:v>
      </x:c>
      <x:c r="D77" s="14" t="str">
        <x:v>The only feasible combination is **S1 → T2**:
- Leave Brook at **09:00**, arrive at Junction at **09:20**.
- Wait **25 minutes**, then take T2 at **09:45**.
- Arrive at the museum at **10:15**.
**Recommendation: S1 → T2**, which is also the latest feasible departure from Brook.</x:v>
      </x:c>
      <x:c r="E77" s="14" t="str">
        <x:v>The only feasible combination is S1 followed by T2: depart Brook 09:00, arrive Junction 09:20, wait 25 minutes, depart Junction 09:45 and arrive at the museum 10:15. It is therefore also the latest-departing feasible combination. S1–T1 and S2–T2 each allow only 10 minutes to transfer, below the required 12. Any connection using T3 arrives after the 10:30 deadline; the other pairings depart before the shuttle arrives.</x:v>
      </x:c>
      <x:c r="F77" s="14" t="str">
        <x:v>https://github.com/sunhero-7/ai-answer-quality-audit/blob/main/04_responses/raw/PR06-A.txt</x:v>
      </x:c>
      <x:c r="G77" s="14" t="str">
        <x:v>Codex agent; underlying model identifier not exposed</x:v>
      </x:c>
      <x:c r="H77" s="14" t="str">
        <x:v>70d8096d130af6559f8071a818a33c56f7788a88633e5142488985949ba13858</x:v>
      </x:c>
    </x:row>
    <x:row r="78" ht="284" customHeight="1">
      <x:c r="A78" s="9" t="str">
        <x:v>PR06-B</x:v>
      </x:c>
      <x:c r="B78" s="9" t="str">
        <x:v>PR06</x:v>
      </x:c>
      <x:c r="C78" s="14" t="str">
        <x:v>Use only this fictional same-day timetable. All times use the same local clock. A shuttle goes from Brook to Junction, and a train then goes from Junction to the museum. The traveller starts at Brook no earlier than 09:00 and must arrive at the museum by 10:30 inclusive. A connection is allowed only when the train departs at least 12 minutes after the shuttle arrives. No walking or other services are available.
Shuttles:
[S1] Brook 09:00 → Junction 09:20.
[S2] Brook 09:15 → Junction 09:35.
[S3] Brook 09:30 → Junction 09:50.
Trains:
[T1] Junction 09:30 → museum 10:00.
[T2] Junction 09:45 → museum 10:15.
[T3] Junction 10:05 → museum 10:35.
List every feasible shuttle–train combination. Then recommend the combination that leaves Brook latest among the feasible ones. Show the transfer waiting time for each listed combination.</x:v>
      </x:c>
      <x:c r="D78" s="14" t="str">
        <x:v>The only feasible combination is **S1 → T2**:
- Leave Brook at **09:00**; arrive at Junction at **09:20**.
- Wait **25 minutes**; take T2 at **09:45**.
- Arrive at the museum at **10:15**, before the 10:30 deadline.
**Recommendation: S1 → T2.** It is the only feasible combination and therefore the one that leaves Brook latest.</x:v>
      </x:c>
      <x:c r="E78" s="14" t="str">
        <x:v>The only feasible combination is S1 followed by T2: depart Brook 09:00, arrive Junction 09:20, wait 25 minutes, depart Junction 09:45 and arrive at the museum 10:15. It is therefore also the latest-departing feasible combination. S1–T1 and S2–T2 each allow only 10 minutes to transfer, below the required 12. Any connection using T3 arrives after the 10:30 deadline; the other pairings depart before the shuttle arrives.</x:v>
      </x:c>
      <x:c r="F78" s="14" t="str">
        <x:v>https://github.com/sunhero-7/ai-answer-quality-audit/blob/main/04_responses/raw/PR06-B.txt</x:v>
      </x:c>
      <x:c r="G78" s="14" t="str">
        <x:v>Codex agent; underlying model identifier not exposed</x:v>
      </x:c>
      <x:c r="H78" s="14" t="str">
        <x:v>bf614546baecfaefd204335654c267b1fd43aa15e18558479325ac917b407c85</x:v>
      </x:c>
    </x:row>
    <x:row r="79" ht="224" customHeight="1">
      <x:c r="A79" s="9" t="str">
        <x:v>PR07-A</x:v>
      </x:c>
      <x:c r="B79" s="9" t="str">
        <x:v>PR07</x:v>
      </x:c>
      <x:c r="C79" s="14" t="str">
        <x:v>One operator must complete four jobs, without interruption or overlap, starting at 09:00. No new jobs arrive. The jobs are:
[J1] Archive old files: 20 minutes; ready at 09:00; priority 2.
[J2] Repair a label template: 15 minutes; ready at 09:00; priority 1.
[J3] Print event labels: 10 minutes; becomes ready only when J2 finishes; priority 1.
[J4] Write a handover note: 5 minutes; becomes ready only when both J1 and J3 finish; priority 1.
At each time the operator is free, start a ready unfinished job immediately. Among ready jobs, choose the lowest priority number; break any tie by the lowest job number. A running job must finish before another begins.
Give the resulting schedule with all start and end times in chronological order. Briefly explain the choice made immediately after J2 finishes.</x:v>
      </x:c>
      <x:c r="D79" s="14" t="str">
        <x:v>| Job | Start | End |
|---|---|---|
| J2: Repair a label template | 09:00 | 09:15 |
| J3: Print event labels | 09:15 | 09:25 |
| J1: Archive old files | 09:25 | 09:45 |
| J4: Write a handover note | 09:45 | 09:50 |
Immediately after J2 finishes, J3 becomes ready. Its priority number is 1, lower than J1’s 2, so J3 runs next.</x:v>
      </x:c>
      <x:c r="E79" s="14" t="str">
        <x:v>09:00–09:15: J2, repair the label template.
09:15–09:25: J3, print event labels.
09:25–09:45: J1, archive old files.
09:45–09:50: J4, write the handover note.
After J2 finishes, J3 becomes ready. It has priority 1, ahead of the already-ready J1 at priority 2, so the rule selects J3 next.</x:v>
      </x:c>
      <x:c r="F79" s="14" t="str">
        <x:v>https://github.com/sunhero-7/ai-answer-quality-audit/blob/main/04_responses/raw/PR07-A.txt</x:v>
      </x:c>
      <x:c r="G79" s="14" t="str">
        <x:v>Codex agent; underlying model identifier not exposed</x:v>
      </x:c>
      <x:c r="H79" s="14" t="str">
        <x:v>af2bb0836b4c41f1de6fc1ccf3ae496762889c60e4645f0df218610ac3ddacdb</x:v>
      </x:c>
    </x:row>
    <x:row r="80" ht="224" customHeight="1">
      <x:c r="A80" s="9" t="str">
        <x:v>PR07-B</x:v>
      </x:c>
      <x:c r="B80" s="9" t="str">
        <x:v>PR07</x:v>
      </x:c>
      <x:c r="C80" s="14" t="str">
        <x:v>One operator must complete four jobs, without interruption or overlap, starting at 09:00. No new jobs arrive. The jobs are:
[J1] Archive old files: 20 minutes; ready at 09:00; priority 2.
[J2] Repair a label template: 15 minutes; ready at 09:00; priority 1.
[J3] Print event labels: 10 minutes; becomes ready only when J2 finishes; priority 1.
[J4] Write a handover note: 5 minutes; becomes ready only when both J1 and J3 finish; priority 1.
At each time the operator is free, start a ready unfinished job immediately. Among ready jobs, choose the lowest priority number; break any tie by the lowest job number. A running job must finish before another begins.
Give the resulting schedule with all start and end times in chronological order. Briefly explain the choice made immediately after J2 finishes.</x:v>
      </x:c>
      <x:c r="D80" s="14" t="str">
        <x:v>- 09:00–09:15: J2 — Repair a label template
- 09:15–09:25: J3 — Print event labels
- 09:25–09:45: J1 — Archive old files
- 09:45–09:50: J4 — Write a handover note
Immediately after J2 finishes, J3 becomes ready. J3 has priority 1, so it is chosen ahead of J1, which has priority 2.</x:v>
      </x:c>
      <x:c r="E80" s="14" t="str">
        <x:v>09:00–09:15: J2, repair the label template.
09:15–09:25: J3, print event labels.
09:25–09:45: J1, archive old files.
09:45–09:50: J4, write the handover note.
After J2 finishes, J3 becomes ready. It has priority 1, ahead of the already-ready J1 at priority 2, so the rule selects J3 next.</x:v>
      </x:c>
      <x:c r="F80" s="14" t="str">
        <x:v>https://github.com/sunhero-7/ai-answer-quality-audit/blob/main/04_responses/raw/PR07-B.txt</x:v>
      </x:c>
      <x:c r="G80" s="14" t="str">
        <x:v>Codex agent; underlying model identifier not exposed</x:v>
      </x:c>
      <x:c r="H80" s="14" t="str">
        <x:v>a9128d59da820b36e2419c2e082e07b40e93c7accdff7a7580a52e2a31bc7a73</x:v>
      </x:c>
    </x:row>
    <x:row r="81" ht="209" customHeight="1">
      <x:c r="A81" s="9" t="str">
        <x:v>PR08-A</x:v>
      </x:c>
      <x:c r="B81" s="9" t="str">
        <x:v>PR08</x:v>
      </x:c>
      <x:c r="C81" s="14" t="str">
        <x:v>A volunteer team needs one portable screen for a workshop. It must cost at most £100, weigh at most 5 kg, include a stand and have a matte surface. The only available options are listed below. A question mark means the supplier has not provided that information; it does not mean yes or no.
[A] Arden: £90; 4.5 kg; stand included; matte surface yes.
[B] Bracken: £75; 4.0 kg; stand included; matte surface ?.
[C] Clover: £85; 5.5 kg; stand included; matte surface yes.
[D] Dune: £95; 4.0 kg; no stand included; matte surface yes.
The organiser says, “Choose the cheapest screen that meets every requirement.” Identify the cheapest option confirmed to qualify, the option that might change that choice after a check, and exactly what needs checking. Recommend a next step without claiming to have contacted a supplier or purchased anything. Keep your response within 130 words.</x:v>
      </x:c>
      <x:c r="D81" s="14" t="str">
        <x:v>**Arden [A] (£90)** is the cheapest option confirmed to meet every requirement: it weighs 4.5 kg, includes a stand and has a matte surface.
**Bracken [B] (£75)** could change the choice. Its price, weight and included stand qualify, but **whether its surface is matte needs checking**.
Next, ask Bracken’s supplier to confirm the surface finish. If it is matte, choose Bracken; if it is not matte or remains unconfirmed, choose Arden. Clover exceeds the weight limit, and Dune lacks an included stand.</x:v>
      </x:c>
      <x:c r="E81" s="14" t="str">
        <x:v>Arden at £90 is the cheapest option confirmed to meet every requirement. Bracken at £75 could become the cheaper qualifying choice, but its surface is unknown: confirm that it is matte before treating it as eligible. Clover exceeds the 5 kg limit and Dune lacks the required included stand. Ask the supplier for Bracken's surface specification before deciding; if it is matte, choose Bracken, otherwise Arden is the confirmed qualifying option. No contact or purchase has been made.</x:v>
      </x:c>
      <x:c r="F81" s="14" t="str">
        <x:v>https://github.com/sunhero-7/ai-answer-quality-audit/blob/main/04_responses/raw/PR08-A.txt</x:v>
      </x:c>
      <x:c r="G81" s="14" t="str">
        <x:v>Codex agent; underlying model identifier not exposed</x:v>
      </x:c>
      <x:c r="H81" s="14" t="str">
        <x:v>4d25c5a1ad090aaf9c43a31691a16ffdfa1767611687a6fe7374ff8d87fe69d1</x:v>
      </x:c>
    </x:row>
    <x:row r="82" ht="209" customHeight="1">
      <x:c r="A82" s="9" t="str">
        <x:v>PR08-B</x:v>
      </x:c>
      <x:c r="B82" s="9" t="str">
        <x:v>PR08</x:v>
      </x:c>
      <x:c r="C82" s="14" t="str">
        <x:v>A volunteer team needs one portable screen for a workshop. It must cost at most £100, weigh at most 5 kg, include a stand and have a matte surface. The only available options are listed below. A question mark means the supplier has not provided that information; it does not mean yes or no.
[A] Arden: £90; 4.5 kg; stand included; matte surface yes.
[B] Bracken: £75; 4.0 kg; stand included; matte surface ?.
[C] Clover: £85; 5.5 kg; stand included; matte surface yes.
[D] Dune: £95; 4.0 kg; no stand included; matte surface yes.
The organiser says, “Choose the cheapest screen that meets every requirement.” Identify the cheapest option confirmed to qualify, the option that might change that choice after a check, and exactly what needs checking. Recommend a next step without claiming to have contacted a supplier or purchased anything. Keep your response within 130 words.</x:v>
      </x:c>
      <x:c r="D82" s="14" t="str">
        <x:v>Arden [A] is the cheapest confirmed qualifying screen at £90: it weighs 4.5 kg, includes a stand and has a matte surface.
Bracken [B], at £75, could change the choice. It meets the price, weight and stand requirements, but its matte surface status is unknown. Check whether Bracken’s screen surface is matte.
Next step: ask the supplier to confirm that detail. If Bracken is confirmed matte, choose it; if it is not matte or remains unconfirmed, Arden remains the cheapest confirmed choice.
Clover exceeds the weight limit, and Dune lacks an included stand.</x:v>
      </x:c>
      <x:c r="E82" s="14" t="str">
        <x:v>Arden at £90 is the cheapest option confirmed to meet every requirement. Bracken at £75 could become the cheaper qualifying choice, but its surface is unknown: confirm that it is matte before treating it as eligible. Clover exceeds the 5 kg limit and Dune lacks the required included stand. Ask the supplier for Bracken's surface specification before deciding; if it is matte, choose Bracken, otherwise Arden is the confirmed qualifying option. No contact or purchase has been made.</x:v>
      </x:c>
      <x:c r="F82" s="14" t="str">
        <x:v>https://github.com/sunhero-7/ai-answer-quality-audit/blob/main/04_responses/raw/PR08-B.txt</x:v>
      </x:c>
      <x:c r="G82" s="14" t="str">
        <x:v>Codex agent; underlying model identifier not exposed</x:v>
      </x:c>
      <x:c r="H82" s="14" t="str">
        <x:v>120db84bf4b0d064457a87c0c3dc2e9cf576c5e309c3f8bfe8f143ff043f5e0c</x:v>
      </x:c>
    </x:row>
    <x:row r="83" ht="149" customHeight="1">
      <x:c r="A83" s="9" t="str">
        <x:v>PR09-A</x:v>
      </x:c>
      <x:c r="B83" s="9" t="str">
        <x:v>PR09</x:v>
      </x:c>
      <x:c r="C83" s="14" t="str">
        <x:v>Prepare exactly 18 identical workshop kits. Each kit needs two pencils, three blank cards and one envelope. Existing stock contains 9 pencils, 20 blank cards and 5 envelopes. New supplies are sold only in whole packs: pencils in packs of 10, cards in packs of 25 and envelopes in packs of 8. Assume all stock is usable.
Buy the smallest possible number of packs of each supply that allows all 18 kits to be assembled. Give a table with one row per supply and these columns: total needed, existing stock, packs to buy, items left after assembly. Show or explain how you rounded the shortfall to whole packs. Do not substitute items between kits.</x:v>
      </x:c>
      <x:c r="D83" s="14" t="str">
        <x:v>| Supply | Total needed | Existing stock | Packs to buy | Items left after assembly |
|---|---:|---:|---:|---:|
| Pencils | 36 | 9 | 3 | 3 |
| Blank cards | 54 | 20 | 2 | 16 |
| Envelopes | 18 | 5 | 2 | 3 |
Divide each shortfall by its pack size and round **up**:
- Pencils: \((36-9)/10=2.7\) → **3 packs**
- Cards: \((54-20)/25=1.36\) → **2 packs**
- Envelopes: \((18-5)/8=1.625\) → **2 packs**</x:v>
      </x:c>
      <x:c r="E83" s="14" t="str">
        <x:v>Pencils: total needed 36, stock 9, shortfall 27; buy 3 packs of 10, leaving 9 + 30 − 36 = 3. Cards: total needed 54, stock 20, shortfall 34; buy 2 packs of 25, leaving 20 + 50 − 54 = 16. Envelopes: total needed 18, stock 5, shortfall 13; buy 2 packs of 8, leaving 5 + 16 − 18 = 3. The requested table should contain these three rows. Divide each shortfall by its pack size and round upward: ceiling(27/10)=3, ceiling(34/25)=2, ceiling(13/8)=2.</x:v>
      </x:c>
      <x:c r="F83" s="14" t="str">
        <x:v>https://github.com/sunhero-7/ai-answer-quality-audit/blob/main/04_responses/raw/PR09-A.txt</x:v>
      </x:c>
      <x:c r="G83" s="14" t="str">
        <x:v>Codex agent; underlying model identifier not exposed</x:v>
      </x:c>
      <x:c r="H83" s="14" t="str">
        <x:v>754f1cb181877d5e1ee75758e9c5f907b02614dd725011e72fdb5d7524dab036</x:v>
      </x:c>
    </x:row>
    <x:row r="84" ht="164" customHeight="1">
      <x:c r="A84" s="9" t="str">
        <x:v>PR09-B</x:v>
      </x:c>
      <x:c r="B84" s="9" t="str">
        <x:v>PR09</x:v>
      </x:c>
      <x:c r="C84" s="14" t="str">
        <x:v>Prepare exactly 18 identical workshop kits. Each kit needs two pencils, three blank cards and one envelope. Existing stock contains 9 pencils, 20 blank cards and 5 envelopes. New supplies are sold only in whole packs: pencils in packs of 10, cards in packs of 25 and envelopes in packs of 8. Assume all stock is usable.
Buy the smallest possible number of packs of each supply that allows all 18 kits to be assembled. Give a table with one row per supply and these columns: total needed, existing stock, packs to buy, items left after assembly. Show or explain how you rounded the shortfall to whole packs. Do not substitute items between kits.</x:v>
      </x:c>
      <x:c r="D84" s="14" t="str">
        <x:v>| Supply | Total needed | Existing stock | Packs to buy | Items left after assembly |
|---|---:|---:|---:|---:|
| Pencils | 36 | 9 | 3 | 3 |
| Blank cards | 54 | 20 | 2 | 16 |
| Envelopes | 18 | 5 | 2 | 3 |
Round each shortfall **up** to whole packs:
- Pencils: \((36-9)/10=2.7\) → **3 packs**
- Cards: \((54-20)/25=1.36\) → **2 packs**
- Envelopes: \((18-5)/8=1.625\) → **2 packs**
Leftovers equal existing stock plus purchased items minus total needed.</x:v>
      </x:c>
      <x:c r="E84" s="14" t="str">
        <x:v>Pencils: total needed 36, stock 9, shortfall 27; buy 3 packs of 10, leaving 9 + 30 − 36 = 3. Cards: total needed 54, stock 20, shortfall 34; buy 2 packs of 25, leaving 20 + 50 − 54 = 16. Envelopes: total needed 18, stock 5, shortfall 13; buy 2 packs of 8, leaving 5 + 16 − 18 = 3. The requested table should contain these three rows. Divide each shortfall by its pack size and round upward: ceiling(27/10)=3, ceiling(34/25)=2, ceiling(13/8)=2.</x:v>
      </x:c>
      <x:c r="F84" s="14" t="str">
        <x:v>https://github.com/sunhero-7/ai-answer-quality-audit/blob/main/04_responses/raw/PR09-B.txt</x:v>
      </x:c>
      <x:c r="G84" s="14" t="str">
        <x:v>Codex agent; underlying model identifier not exposed</x:v>
      </x:c>
      <x:c r="H84" s="14" t="str">
        <x:v>f120705edf1f1c91010966b4af24f6be5c319f6051771a6e4e6928f692d3522c</x:v>
      </x:c>
    </x:row>
    <x:row r="85" ht="194" customHeight="1">
      <x:c r="A85" s="9" t="str">
        <x:v>PR10-A</x:v>
      </x:c>
      <x:c r="B85" s="9" t="str">
        <x:v>PR10</x:v>
      </x:c>
      <x:c r="C85" s="14" t="str">
        <x:v>Three teammates need one continuous 30-minute call on the same date. For this exercise, the clock offsets below are fixed and there are no daylight-saving changes. A call must fit entirely inside every person's availability; it may start or finish exactly at a boundary.
[M1] Maya's local clock is UTC+0. She is available 09:00–10:00 local.
[M2] Luis's local clock is UTC−3. He is available 06:30–07:15 local.
[M3] Sana's local clock is UTC+2. She is available 11:45–12:30 local.
First decide whether a 30-minute call is possible with the original availability, showing the shared interval in UTC. If it is impossible, only Maya may extend the end of her availability, by at most 15 minutes. Find the smallest extension that makes the call possible and give the resulting call time in UTC and on all three local clocks. Do not change anyone's starting time.</x:v>
      </x:c>
      <x:c r="D85" s="14" t="str">
        <x:v>In UTC, availability is:
- Maya: 09:00–10:00
- Luis: 09:30–10:15
- Sana: 09:45–10:30
The original shared interval is **09:45–10:00 UTC**, only 15 minutes, so a 30-minute call is impossible.
The earliest shared start is 09:45 UTC, requiring availability until 10:15 UTC. Maya must extend her end by **15 minutes**, the smallest possible extension.
The resulting call is:
- **UTC:** 09:45–10:15
- **Maya:** 09:45–10:15 local
- **Luis:** 06:45–07:15 local
- **Sana:** 11:45–12:15 local</x:v>
      </x:c>
      <x:c r="E85" s="14" t="str">
        <x:v>In UTC the availability windows are Maya 09:00–10:00, Luis 09:30–10:15 and Sana 09:45–10:30. Their original overlap is 09:45–10:00, only 15 minutes, so a 30-minute call is impossible. Maya must extend her end by the full 15 minutes, to 10:15 local/UTC; a smaller extension would leave less than 30 minutes of overlap. The call is 09:45–10:15 UTC: Maya 09:45–10:15, Luis 06:45–07:15 and Sana 11:45–12:15 local.</x:v>
      </x:c>
      <x:c r="F85" s="14" t="str">
        <x:v>https://github.com/sunhero-7/ai-answer-quality-audit/blob/main/04_responses/raw/PR10-A.txt</x:v>
      </x:c>
      <x:c r="G85" s="14" t="str">
        <x:v>Codex agent; underlying model identifier not exposed</x:v>
      </x:c>
      <x:c r="H85" s="14" t="str">
        <x:v>f0589b78cbb6b9c9a598794e9a43f9846ca179327501e73553834232ec07ec6a</x:v>
      </x:c>
    </x:row>
    <x:row r="86" ht="194" customHeight="1">
      <x:c r="A86" s="9" t="str">
        <x:v>PR10-B</x:v>
      </x:c>
      <x:c r="B86" s="9" t="str">
        <x:v>PR10</x:v>
      </x:c>
      <x:c r="C86" s="14" t="str">
        <x:v>Three teammates need one continuous 30-minute call on the same date. For this exercise, the clock offsets below are fixed and there are no daylight-saving changes. A call must fit entirely inside every person's availability; it may start or finish exactly at a boundary.
[M1] Maya's local clock is UTC+0. She is available 09:00–10:00 local.
[M2] Luis's local clock is UTC−3. He is available 06:30–07:15 local.
[M3] Sana's local clock is UTC+2. She is available 11:45–12:30 local.
First decide whether a 30-minute call is possible with the original availability, showing the shared interval in UTC. If it is impossible, only Maya may extend the end of her availability, by at most 15 minutes. Find the smallest extension that makes the call possible and give the resulting call time in UTC and on all three local clocks. Do not change anyone's starting time.</x:v>
      </x:c>
      <x:c r="D86" s="14" t="str">
        <x:v>The original availability in UTC is:
- Maya: 09:00–10:00
- Luis: 09:30–10:15
- Sana: 09:45–10:30
Their shared interval is **09:45–10:00 UTC**, only 15 minutes, so a 30-minute call is impossible.
The earliest shared start is 09:45, so Maya must extend her end to 10:15. The **smallest extension is 15 minutes**, exactly the allowed maximum.
The resulting call is:
- **UTC:** 09:45–10:15
- **Maya:** 09:45–10:15 local
- **Luis:** 06:45–07:15 local
- **Sana:** 11:45–12:15 local</x:v>
      </x:c>
      <x:c r="E86" s="14" t="str">
        <x:v>In UTC the availability windows are Maya 09:00–10:00, Luis 09:30–10:15 and Sana 09:45–10:30. Their original overlap is 09:45–10:00, only 15 minutes, so a 30-minute call is impossible. Maya must extend her end by the full 15 minutes, to 10:15 local/UTC; a smaller extension would leave less than 30 minutes of overlap. The call is 09:45–10:15 UTC: Maya 09:45–10:15, Luis 06:45–07:15 and Sana 11:45–12:15 local.</x:v>
      </x:c>
      <x:c r="F86" s="14" t="str">
        <x:v>https://github.com/sunhero-7/ai-answer-quality-audit/blob/main/04_responses/raw/PR10-B.txt</x:v>
      </x:c>
      <x:c r="G86" s="14" t="str">
        <x:v>Codex agent; underlying model identifier not exposed</x:v>
      </x:c>
      <x:c r="H86" s="14" t="str">
        <x:v>19100b54bfeaa5b101a16e977638ec909c51b28af94f3d06b3ddac64c3febf51</x:v>
      </x:c>
    </x:row>
  </x:sheetData>
  <x:pageMargins left="0.7" right="0.7" top="0.75" bottom="0.75" header="0.3" footer="0.3"/>
  <x:tableParts count="1">
    <x:tablePart xmlns:r="http://schemas.openxmlformats.org/officeDocument/2006/relationships" r:id="R913da0b8ba114a71"/>
  </x:tableParts>
</x:worksheet>
</file>